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ca5ce81971c39fd9/Desktop/Entri/Coding challenge/"/>
    </mc:Choice>
  </mc:AlternateContent>
  <xr:revisionPtr revIDLastSave="4" documentId="8_{7408A8C0-9E54-45BC-82FD-92BF591CD856}" xr6:coauthVersionLast="47" xr6:coauthVersionMax="47" xr10:uidLastSave="{B09FF125-34CA-4374-83DA-5B41F66CB0D9}"/>
  <bookViews>
    <workbookView xWindow="-108" yWindow="-108" windowWidth="23256" windowHeight="12456" firstSheet="1" activeTab="5" xr2:uid="{00000000-000D-0000-FFFF-FFFF00000000}"/>
  </bookViews>
  <sheets>
    <sheet name="MONTHLY SALES TRENDS" sheetId="4" r:id="rId1"/>
    <sheet name="answers" sheetId="11" r:id="rId2"/>
    <sheet name="WEEKDAY PERFORMANCE" sheetId="6" r:id="rId3"/>
    <sheet name="TOP 5 PRODUTS" sheetId="7" r:id="rId4"/>
    <sheet name="Sales" sheetId="1" r:id="rId5"/>
    <sheet name="DASHBOARD" sheetId="9" r:id="rId6"/>
    <sheet name="REGION CONTRIBUTION" sheetId="12" r:id="rId7"/>
    <sheet name="Products" sheetId="2" r:id="rId8"/>
    <sheet name="Regions" sheetId="3" r:id="rId9"/>
  </sheets>
  <definedNames>
    <definedName name="Slicer_OrderDate">#N/A</definedName>
    <definedName name="Slicer_ProductID">#N/A</definedName>
    <definedName name="Slicer_RegionID">#N/A</definedName>
    <definedName name="Slicer_RegionNam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 i="1" l="1"/>
  <c r="F27" i="1"/>
  <c r="G27" i="1"/>
  <c r="C13" i="1"/>
  <c r="C17" i="1"/>
  <c r="C26" i="1"/>
  <c r="C19" i="1"/>
  <c r="C4" i="1"/>
  <c r="C5" i="1"/>
  <c r="C14" i="1"/>
  <c r="C22" i="1"/>
  <c r="C21" i="1"/>
  <c r="C8" i="1"/>
  <c r="C3" i="1"/>
  <c r="C9" i="1"/>
  <c r="C6" i="1"/>
  <c r="C24" i="1"/>
  <c r="C7" i="1"/>
  <c r="C2" i="1"/>
  <c r="C11" i="1"/>
  <c r="C18" i="1"/>
  <c r="C20" i="1"/>
  <c r="C10" i="1"/>
  <c r="C25" i="1"/>
  <c r="C12" i="1"/>
  <c r="C16" i="1"/>
  <c r="C15" i="1"/>
  <c r="C23" i="1"/>
</calcChain>
</file>

<file path=xl/sharedStrings.xml><?xml version="1.0" encoding="utf-8"?>
<sst xmlns="http://schemas.openxmlformats.org/spreadsheetml/2006/main" count="248" uniqueCount="120">
  <si>
    <t>OrderID</t>
  </si>
  <si>
    <t>OrderDate</t>
  </si>
  <si>
    <t>ProductID</t>
  </si>
  <si>
    <t>Quantity</t>
  </si>
  <si>
    <t>SalesAmount</t>
  </si>
  <si>
    <t>ProductName</t>
  </si>
  <si>
    <t>Category</t>
  </si>
  <si>
    <t>Product 1</t>
  </si>
  <si>
    <t>Fashion</t>
  </si>
  <si>
    <t>Product 2</t>
  </si>
  <si>
    <t>Product 3</t>
  </si>
  <si>
    <t>Accessories</t>
  </si>
  <si>
    <t>Product 4</t>
  </si>
  <si>
    <t>Product 5</t>
  </si>
  <si>
    <t>Kitchen</t>
  </si>
  <si>
    <t>Product 6</t>
  </si>
  <si>
    <t>Product 7</t>
  </si>
  <si>
    <t>Outdoor</t>
  </si>
  <si>
    <t>Product 8</t>
  </si>
  <si>
    <t>Product 9</t>
  </si>
  <si>
    <t>Product 10</t>
  </si>
  <si>
    <t>Product 11</t>
  </si>
  <si>
    <t>Product 12</t>
  </si>
  <si>
    <t>Product 13</t>
  </si>
  <si>
    <t>Product 14</t>
  </si>
  <si>
    <t>Product 15</t>
  </si>
  <si>
    <t>Electronics</t>
  </si>
  <si>
    <t>Product 16</t>
  </si>
  <si>
    <t>Product 17</t>
  </si>
  <si>
    <t>Product 18</t>
  </si>
  <si>
    <t>Product 19</t>
  </si>
  <si>
    <t>Product 20</t>
  </si>
  <si>
    <t>Product 21</t>
  </si>
  <si>
    <t>Product 22</t>
  </si>
  <si>
    <t>Product 23</t>
  </si>
  <si>
    <t>Product 24</t>
  </si>
  <si>
    <t>Product 25</t>
  </si>
  <si>
    <t>RegionID</t>
  </si>
  <si>
    <t>RegionName</t>
  </si>
  <si>
    <t>North</t>
  </si>
  <si>
    <t>South</t>
  </si>
  <si>
    <t>East</t>
  </si>
  <si>
    <t>West</t>
  </si>
  <si>
    <t>Central</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</si>
  <si>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</si>
  <si>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</si>
  <si>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</si>
  <si>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</si>
  <si>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</si>
  <si>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</si>
  <si>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</si>
  <si>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</si>
  <si>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</si>
  <si>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</si>
  <si>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</si>
  <si>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</si>
  <si>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</si>
  <si>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</si>
  <si>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</si>
  <si>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</si>
  <si>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</si>
  <si>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</si>
  <si>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</si>
  <si>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</si>
  <si>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</si>
  <si>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</si>
  <si>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</si>
  <si>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</si>
  <si>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</si>
  <si>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Row Labels</t>
  </si>
  <si>
    <t>Grand Total</t>
  </si>
  <si>
    <t>Jan</t>
  </si>
  <si>
    <t>Feb</t>
  </si>
  <si>
    <t>Mar</t>
  </si>
  <si>
    <t>Apr</t>
  </si>
  <si>
    <t>May</t>
  </si>
  <si>
    <t>Jun</t>
  </si>
  <si>
    <t>Sum of SalesAmount</t>
  </si>
  <si>
    <t>Weekday</t>
  </si>
  <si>
    <t>Tuesday</t>
  </si>
  <si>
    <t>Friday</t>
  </si>
  <si>
    <t>Saturday</t>
  </si>
  <si>
    <t>Thursday</t>
  </si>
  <si>
    <t>Sunday</t>
  </si>
  <si>
    <t>Wednesday</t>
  </si>
  <si>
    <t>Monday</t>
  </si>
  <si>
    <t>Region ID</t>
  </si>
  <si>
    <t>R1</t>
  </si>
  <si>
    <t>R2</t>
  </si>
  <si>
    <t>R3</t>
  </si>
  <si>
    <t>R4</t>
  </si>
  <si>
    <t>R5</t>
  </si>
  <si>
    <t>Total Orders</t>
  </si>
  <si>
    <t>Total Quantity sold</t>
  </si>
  <si>
    <t>Top product</t>
  </si>
  <si>
    <t>Best month</t>
  </si>
  <si>
    <t>Average sales amount</t>
  </si>
  <si>
    <t>April</t>
  </si>
  <si>
    <t>Region</t>
  </si>
  <si>
    <t>Count of Region</t>
  </si>
  <si>
    <t>Column Labels</t>
  </si>
  <si>
    <t xml:space="preserve">Explain how you would: </t>
  </si>
  <si>
    <t>● Use date &amp; time functions to derive meaningful time-based insights</t>
  </si>
  <si>
    <t>1) Month-wise trend</t>
  </si>
  <si>
    <t>2) Weekday performance</t>
  </si>
  <si>
    <t>3)Peak days, months, week</t>
  </si>
  <si>
    <t>●Connect multiple tables using lookup/reference functions or Pivot Table relationships</t>
  </si>
  <si>
    <t>Can use Xlookup for Bring ProductName + Category into the Sales table using ProductID If the data is in the same sheet different table.</t>
  </si>
  <si>
    <t>Pivot Table can connect different tables in different sheets through Data model- Relationships.</t>
  </si>
  <si>
    <t>●Build Pivot Tables and Pivot Charts for analysis and visualization</t>
  </si>
  <si>
    <t>Pivot table can be created by selecting the table-Insert- Pivot table</t>
  </si>
  <si>
    <t>By selection of Pivot table- Insert- Pivot Chart</t>
  </si>
  <si>
    <t>● Create a dynamic, interactive dashboard using slicers and filters</t>
  </si>
  <si>
    <t>Create Pivot table- Select the pivot table- Insert -Filters-Slicers</t>
  </si>
  <si>
    <t>We can create slicers for region.products etc</t>
  </si>
  <si>
    <t>● Leverage Excel AI features (Quick Analysis / AI analyst) to generate insights efficiently</t>
  </si>
  <si>
    <t>Data- Data Analysis</t>
  </si>
  <si>
    <t>I selected functions for data preparation, PivotTables for dynamic aggregation, and charts based on the type of comparison needed—trend, ranking, or contribution—so the dashboard remains interactive, scalable, and decision-friendly.</t>
  </si>
  <si>
    <t>Justify why you choose specific functions, pivot features, and chart types in your approach.</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</si>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</sst>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1"/>
      <name val="Calibri"/>
    </font>
    <font>
      <sz val="8"/>
      <name val="Calibri"/>
      <family val="2"/>
      <scheme val="minor"/>
    </font>
    <font>
      <b/>
      <sz val="11"/>
      <color theme="1"/>
      <name val="Calibri"/>
      <family val="2"/>
      <scheme val="minor"/>
    </font>
    <font>
      <b/>
      <sz val="11"/>
      <name val="Calibri"/>
      <family val="2"/>
    </font>
    <font>
      <b/>
      <sz val="28"/>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0" fillId="2" borderId="0" xfId="0" applyFill="1"/>
    <xf numFmtId="0" fontId="0" fillId="0" borderId="1" xfId="0" applyBorder="1"/>
    <xf numFmtId="0" fontId="3" fillId="0" borderId="1" xfId="0" applyFont="1" applyBorder="1"/>
    <xf numFmtId="0" fontId="3" fillId="0" borderId="1" xfId="0" applyFont="1" applyBorder="1" applyAlignment="1">
      <alignment horizontal="right"/>
    </xf>
    <xf numFmtId="0" fontId="4" fillId="0" borderId="2" xfId="0" applyFont="1" applyBorder="1" applyAlignment="1">
      <alignment horizontal="center" vertical="top"/>
    </xf>
    <xf numFmtId="0" fontId="0" fillId="0" borderId="0" xfId="0" applyAlignment="1">
      <alignment horizontal="left" vertical="top" wrapText="1"/>
    </xf>
    <xf numFmtId="0" fontId="5" fillId="2" borderId="0" xfId="0" applyFont="1" applyFill="1" applyAlignment="1">
      <alignment horizontal="center"/>
    </xf>
  </cellXfs>
  <cellStyles count="1">
    <cellStyle name="Normal" xfId="0" builtinId="0"/>
  </cellStyles>
  <dxfs count="1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 Coding Challenge.xlsx]MONTHLY SALES TRENDS!PivotTable1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SALES TRENDS'!$A$4:$A$10</c:f>
              <c:strCache>
                <c:ptCount val="6"/>
                <c:pt idx="0">
                  <c:v>Jan</c:v>
                </c:pt>
                <c:pt idx="1">
                  <c:v>Feb</c:v>
                </c:pt>
                <c:pt idx="2">
                  <c:v>Mar</c:v>
                </c:pt>
                <c:pt idx="3">
                  <c:v>Apr</c:v>
                </c:pt>
                <c:pt idx="4">
                  <c:v>May</c:v>
                </c:pt>
                <c:pt idx="5">
                  <c:v>Jun</c:v>
                </c:pt>
              </c:strCache>
            </c:strRef>
          </c:cat>
          <c:val>
            <c:numRef>
              <c:f>'MONTHLY SALES TRENDS'!$B$4:$B$10</c:f>
              <c:numCache>
                <c:formatCode>General</c:formatCode>
                <c:ptCount val="6"/>
                <c:pt idx="0">
                  <c:v>4616.29</c:v>
                </c:pt>
                <c:pt idx="1">
                  <c:v>4136.6799999999994</c:v>
                </c:pt>
                <c:pt idx="2">
                  <c:v>3939.5800000000004</c:v>
                </c:pt>
                <c:pt idx="3">
                  <c:v>10778.22</c:v>
                </c:pt>
                <c:pt idx="4">
                  <c:v>914.34</c:v>
                </c:pt>
                <c:pt idx="5">
                  <c:v>4040.4399999999996</c:v>
                </c:pt>
              </c:numCache>
            </c:numRef>
          </c:val>
          <c:extLst>
            <c:ext xmlns:c16="http://schemas.microsoft.com/office/drawing/2014/chart" uri="{C3380CC4-5D6E-409C-BE32-E72D297353CC}">
              <c16:uniqueId val="{00000000-68A0-4C15-BA12-FAB6266C33CD}"/>
            </c:ext>
          </c:extLst>
        </c:ser>
        <c:dLbls>
          <c:showLegendKey val="0"/>
          <c:showVal val="0"/>
          <c:showCatName val="0"/>
          <c:showSerName val="0"/>
          <c:showPercent val="0"/>
          <c:showBubbleSize val="0"/>
        </c:dLbls>
        <c:gapWidth val="100"/>
        <c:overlap val="-24"/>
        <c:axId val="1619889631"/>
        <c:axId val="1619891071"/>
      </c:barChart>
      <c:catAx>
        <c:axId val="16198896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891071"/>
        <c:crosses val="autoZero"/>
        <c:auto val="1"/>
        <c:lblAlgn val="ctr"/>
        <c:lblOffset val="100"/>
        <c:noMultiLvlLbl val="0"/>
      </c:catAx>
      <c:valAx>
        <c:axId val="1619891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88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 Coding Challenge.xlsx]WEEKDAY PERFORMANCE!PivotTable2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Weekday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'WEEKDAY PERFORMANCE'!$B$3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'WEEKDAY PERFORMANCE'!$A$4:$A$11</c:f>
              <c:strCache>
                <c:ptCount val="7"/>
                <c:pt idx="0">
                  <c:v>Sunday</c:v>
                </c:pt>
                <c:pt idx="1">
                  <c:v>Monday</c:v>
                </c:pt>
                <c:pt idx="2">
                  <c:v>Tuesday</c:v>
                </c:pt>
                <c:pt idx="3">
                  <c:v>Wednesday</c:v>
                </c:pt>
                <c:pt idx="4">
                  <c:v>Thursday</c:v>
                </c:pt>
                <c:pt idx="5">
                  <c:v>Friday</c:v>
                </c:pt>
                <c:pt idx="6">
                  <c:v>Saturday</c:v>
                </c:pt>
              </c:strCache>
            </c:strRef>
          </c:cat>
          <c:val>
            <c:numRef>
              <c:f>'WEEKDAY PERFORMANCE'!$B$4:$B$11</c:f>
              <c:numCache>
                <c:formatCode>General</c:formatCode>
                <c:ptCount val="7"/>
                <c:pt idx="0">
                  <c:v>7184.0599999999995</c:v>
                </c:pt>
                <c:pt idx="1">
                  <c:v>1690.34</c:v>
                </c:pt>
                <c:pt idx="2">
                  <c:v>5843.39</c:v>
                </c:pt>
                <c:pt idx="3">
                  <c:v>4156.08</c:v>
                </c:pt>
                <c:pt idx="4">
                  <c:v>1800.46</c:v>
                </c:pt>
                <c:pt idx="5">
                  <c:v>4090.09</c:v>
                </c:pt>
                <c:pt idx="6">
                  <c:v>3661.13</c:v>
                </c:pt>
              </c:numCache>
            </c:numRef>
          </c:val>
          <c:smooth val="0"/>
          <c:extLst>
            <c:ext xmlns:c16="http://schemas.microsoft.com/office/drawing/2014/chart" uri="{C3380CC4-5D6E-409C-BE32-E72D297353CC}">
              <c16:uniqueId val="{00000000-7EAA-4635-8C3C-4D066C257723}"/>
            </c:ext>
          </c:extLst>
        </c:ser>
        <c:dLbls>
          <c:showLegendKey val="0"/>
          <c:showVal val="0"/>
          <c:showCatName val="0"/>
          <c:showSerName val="0"/>
          <c:showPercent val="0"/>
          <c:showBubbleSize val="0"/>
        </c:dLbls>
        <c:marker val="1"/>
        <c:smooth val="0"/>
        <c:axId val="1787237023"/>
        <c:axId val="1787220703"/>
      </c:lineChart>
      <c:catAx>
        <c:axId val="17872370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7220703"/>
        <c:crosses val="autoZero"/>
        <c:auto val="1"/>
        <c:lblAlgn val="ctr"/>
        <c:lblOffset val="100"/>
        <c:noMultiLvlLbl val="0"/>
      </c:catAx>
      <c:valAx>
        <c:axId val="17872207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723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 Coding Challenge.xlsx]TOP 5 PRODUTS!PivotTable3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'TOP 5 PRODUTS'!$B$3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EB8-4A42-BFC5-DB7C7FBEA8D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EB8-4A42-BFC5-DB7C7FBEA8D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EB8-4A42-BFC5-DB7C7FBEA8D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EB8-4A42-BFC5-DB7C7FBEA8D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EB8-4A42-BFC5-DB7C7FBEA8D3}"/>
              </c:ext>
            </c:extLst>
          </c:dPt>
          <c:cat>
            <c:strRef>
              <c:f>'TOP 5 PRODUTS'!$A$4:$A$9</c:f>
              <c:strCache>
                <c:ptCount val="5"/>
                <c:pt idx="0">
                  <c:v>P9</c:v>
                </c:pt>
                <c:pt idx="1">
                  <c:v>P3</c:v>
                </c:pt>
                <c:pt idx="2">
                  <c:v>P24</c:v>
                </c:pt>
                <c:pt idx="3">
                  <c:v>P23</c:v>
                </c:pt>
                <c:pt idx="4">
                  <c:v>P19</c:v>
                </c:pt>
              </c:strCache>
            </c:strRef>
          </c:cat>
          <c:val>
            <c:numRef>
              <c:f>'TOP 5 PRODUTS'!$B$4:$B$9</c:f>
              <c:numCache>
                <c:formatCode>General</c:formatCode>
                <c:ptCount val="5"/>
                <c:pt idx="0">
                  <c:v>5116.7900000000009</c:v>
                </c:pt>
                <c:pt idx="1">
                  <c:v>3744.6099999999997</c:v>
                </c:pt>
                <c:pt idx="2">
                  <c:v>3132.52</c:v>
                </c:pt>
                <c:pt idx="3">
                  <c:v>2149.06</c:v>
                </c:pt>
                <c:pt idx="4">
                  <c:v>2945.31</c:v>
                </c:pt>
              </c:numCache>
            </c:numRef>
          </c:val>
          <c:extLst>
            <c:ext xmlns:c16="http://schemas.microsoft.com/office/drawing/2014/chart" uri="{C3380CC4-5D6E-409C-BE32-E72D297353CC}">
              <c16:uniqueId val="{00000000-3AAD-447A-92A5-0FADB07E71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 Coding Challenge.xlsx]MONTHLY SALES TRENDS!PivotTable1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SALES TRENDS'!$A$4:$A$10</c:f>
              <c:strCache>
                <c:ptCount val="6"/>
                <c:pt idx="0">
                  <c:v>Jan</c:v>
                </c:pt>
                <c:pt idx="1">
                  <c:v>Feb</c:v>
                </c:pt>
                <c:pt idx="2">
                  <c:v>Mar</c:v>
                </c:pt>
                <c:pt idx="3">
                  <c:v>Apr</c:v>
                </c:pt>
                <c:pt idx="4">
                  <c:v>May</c:v>
                </c:pt>
                <c:pt idx="5">
                  <c:v>Jun</c:v>
                </c:pt>
              </c:strCache>
            </c:strRef>
          </c:cat>
          <c:val>
            <c:numRef>
              <c:f>'MONTHLY SALES TRENDS'!$B$4:$B$10</c:f>
              <c:numCache>
                <c:formatCode>General</c:formatCode>
                <c:ptCount val="6"/>
                <c:pt idx="0">
                  <c:v>4616.29</c:v>
                </c:pt>
                <c:pt idx="1">
                  <c:v>4136.6799999999994</c:v>
                </c:pt>
                <c:pt idx="2">
                  <c:v>3939.5800000000004</c:v>
                </c:pt>
                <c:pt idx="3">
                  <c:v>10778.22</c:v>
                </c:pt>
                <c:pt idx="4">
                  <c:v>914.34</c:v>
                </c:pt>
                <c:pt idx="5">
                  <c:v>4040.4399999999996</c:v>
                </c:pt>
              </c:numCache>
            </c:numRef>
          </c:val>
          <c:extLst>
            <c:ext xmlns:c16="http://schemas.microsoft.com/office/drawing/2014/chart" uri="{C3380CC4-5D6E-409C-BE32-E72D297353CC}">
              <c16:uniqueId val="{00000000-E131-4593-93EB-DD02538F9332}"/>
            </c:ext>
          </c:extLst>
        </c:ser>
        <c:dLbls>
          <c:showLegendKey val="0"/>
          <c:showVal val="0"/>
          <c:showCatName val="0"/>
          <c:showSerName val="0"/>
          <c:showPercent val="0"/>
          <c:showBubbleSize val="0"/>
        </c:dLbls>
        <c:gapWidth val="100"/>
        <c:overlap val="-24"/>
        <c:axId val="1619889631"/>
        <c:axId val="1619891071"/>
      </c:barChart>
      <c:catAx>
        <c:axId val="16198896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891071"/>
        <c:crosses val="autoZero"/>
        <c:auto val="1"/>
        <c:lblAlgn val="ctr"/>
        <c:lblOffset val="100"/>
        <c:noMultiLvlLbl val="0"/>
      </c:catAx>
      <c:valAx>
        <c:axId val="1619891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88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 Coding Challenge.xlsx]WEEKDAY PERFORMANCE!PivotTable2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Weekday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'WEEKDAY PERFORMANCE'!$B$3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'WEEKDAY PERFORMANCE'!$A$4:$A$11</c:f>
              <c:strCache>
                <c:ptCount val="7"/>
                <c:pt idx="0">
                  <c:v>Sunday</c:v>
                </c:pt>
                <c:pt idx="1">
                  <c:v>Monday</c:v>
                </c:pt>
                <c:pt idx="2">
                  <c:v>Tuesday</c:v>
                </c:pt>
                <c:pt idx="3">
                  <c:v>Wednesday</c:v>
                </c:pt>
                <c:pt idx="4">
                  <c:v>Thursday</c:v>
                </c:pt>
                <c:pt idx="5">
                  <c:v>Friday</c:v>
                </c:pt>
                <c:pt idx="6">
                  <c:v>Saturday</c:v>
                </c:pt>
              </c:strCache>
            </c:strRef>
          </c:cat>
          <c:val>
            <c:numRef>
              <c:f>'WEEKDAY PERFORMANCE'!$B$4:$B$11</c:f>
              <c:numCache>
                <c:formatCode>General</c:formatCode>
                <c:ptCount val="7"/>
                <c:pt idx="0">
                  <c:v>7184.0599999999995</c:v>
                </c:pt>
                <c:pt idx="1">
                  <c:v>1690.34</c:v>
                </c:pt>
                <c:pt idx="2">
                  <c:v>5843.39</c:v>
                </c:pt>
                <c:pt idx="3">
                  <c:v>4156.08</c:v>
                </c:pt>
                <c:pt idx="4">
                  <c:v>1800.46</c:v>
                </c:pt>
                <c:pt idx="5">
                  <c:v>4090.09</c:v>
                </c:pt>
                <c:pt idx="6">
                  <c:v>3661.13</c:v>
                </c:pt>
              </c:numCache>
            </c:numRef>
          </c:val>
          <c:smooth val="0"/>
          <c:extLst>
            <c:ext xmlns:c16="http://schemas.microsoft.com/office/drawing/2014/chart" uri="{C3380CC4-5D6E-409C-BE32-E72D297353CC}">
              <c16:uniqueId val="{00000000-C86F-461F-B396-DD84A51AD8A4}"/>
            </c:ext>
          </c:extLst>
        </c:ser>
        <c:dLbls>
          <c:showLegendKey val="0"/>
          <c:showVal val="0"/>
          <c:showCatName val="0"/>
          <c:showSerName val="0"/>
          <c:showPercent val="0"/>
          <c:showBubbleSize val="0"/>
        </c:dLbls>
        <c:marker val="1"/>
        <c:smooth val="0"/>
        <c:axId val="1787237023"/>
        <c:axId val="1787220703"/>
      </c:lineChart>
      <c:catAx>
        <c:axId val="17872370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7220703"/>
        <c:crosses val="autoZero"/>
        <c:auto val="1"/>
        <c:lblAlgn val="ctr"/>
        <c:lblOffset val="100"/>
        <c:noMultiLvlLbl val="0"/>
      </c:catAx>
      <c:valAx>
        <c:axId val="17872207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723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 Coding Challenge.xlsx]TOP 5 PRODUTS!PivotTable3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'TOP 5 PRODUTS'!$B$3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CA2-4214-906A-ECD8153FD11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CA2-4214-906A-ECD8153FD11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CA2-4214-906A-ECD8153FD11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CA2-4214-906A-ECD8153FD11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CA2-4214-906A-ECD8153FD11F}"/>
              </c:ext>
            </c:extLst>
          </c:dPt>
          <c:cat>
            <c:strRef>
              <c:f>'TOP 5 PRODUTS'!$A$4:$A$9</c:f>
              <c:strCache>
                <c:ptCount val="5"/>
                <c:pt idx="0">
                  <c:v>P9</c:v>
                </c:pt>
                <c:pt idx="1">
                  <c:v>P3</c:v>
                </c:pt>
                <c:pt idx="2">
                  <c:v>P24</c:v>
                </c:pt>
                <c:pt idx="3">
                  <c:v>P23</c:v>
                </c:pt>
                <c:pt idx="4">
                  <c:v>P19</c:v>
                </c:pt>
              </c:strCache>
            </c:strRef>
          </c:cat>
          <c:val>
            <c:numRef>
              <c:f>'TOP 5 PRODUTS'!$B$4:$B$9</c:f>
              <c:numCache>
                <c:formatCode>General</c:formatCode>
                <c:ptCount val="5"/>
                <c:pt idx="0">
                  <c:v>5116.7900000000009</c:v>
                </c:pt>
                <c:pt idx="1">
                  <c:v>3744.6099999999997</c:v>
                </c:pt>
                <c:pt idx="2">
                  <c:v>3132.52</c:v>
                </c:pt>
                <c:pt idx="3">
                  <c:v>2149.06</c:v>
                </c:pt>
                <c:pt idx="4">
                  <c:v>2945.31</c:v>
                </c:pt>
              </c:numCache>
            </c:numRef>
          </c:val>
          <c:extLst>
            <c:ext xmlns:c16="http://schemas.microsoft.com/office/drawing/2014/chart" uri="{C3380CC4-5D6E-409C-BE32-E72D297353CC}">
              <c16:uniqueId val="{0000000A-8CA2-4214-906A-ECD8153FD1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 Coding Challenge.xlsx]REGION CONTRIBUTION!PivotTable1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Region</a:t>
            </a:r>
            <a:r>
              <a:rPr lang="en-IN" baseline="0"/>
              <a:t> vs Category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CONTRIBUTION'!$B$3:$B$4</c:f>
              <c:strCache>
                <c:ptCount val="1"/>
                <c:pt idx="0">
                  <c:v>Accessories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CONTRIBUTION'!$A$5:$A$10</c:f>
              <c:strCache>
                <c:ptCount val="5"/>
                <c:pt idx="0">
                  <c:v>Central</c:v>
                </c:pt>
                <c:pt idx="1">
                  <c:v>East</c:v>
                </c:pt>
                <c:pt idx="2">
                  <c:v>North</c:v>
                </c:pt>
                <c:pt idx="3">
                  <c:v>South</c:v>
                </c:pt>
                <c:pt idx="4">
                  <c:v>West</c:v>
                </c:pt>
              </c:strCache>
            </c:strRef>
          </c:cat>
          <c:val>
            <c:numRef>
              <c:f>'REGION CONTRIBUTION'!$B$5:$B$10</c:f>
              <c:numCache>
                <c:formatCode>General</c:formatCode>
                <c:ptCount val="5"/>
                <c:pt idx="0">
                  <c:v>1</c:v>
                </c:pt>
                <c:pt idx="1">
                  <c:v>2</c:v>
                </c:pt>
                <c:pt idx="2">
                  <c:v>2</c:v>
                </c:pt>
                <c:pt idx="4">
                  <c:v>2</c:v>
                </c:pt>
              </c:numCache>
            </c:numRef>
          </c:val>
          <c:extLst>
            <c:ext xmlns:c16="http://schemas.microsoft.com/office/drawing/2014/chart" uri="{C3380CC4-5D6E-409C-BE32-E72D297353CC}">
              <c16:uniqueId val="{00000000-1EB4-46F8-A4AE-C1D49CADCAE5}"/>
            </c:ext>
          </c:extLst>
        </c:ser>
        <c:ser>
          <c:idx val="1"/>
          <c:order val="1"/>
          <c:tx>
            <c:strRef>
              <c:f>'REGION CONTRIBUTION'!$C$3:$C$4</c:f>
              <c:strCache>
                <c:ptCount val="1"/>
                <c:pt idx="0">
                  <c:v>Electronics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CONTRIBUTION'!$A$5:$A$10</c:f>
              <c:strCache>
                <c:ptCount val="5"/>
                <c:pt idx="0">
                  <c:v>Central</c:v>
                </c:pt>
                <c:pt idx="1">
                  <c:v>East</c:v>
                </c:pt>
                <c:pt idx="2">
                  <c:v>North</c:v>
                </c:pt>
                <c:pt idx="3">
                  <c:v>South</c:v>
                </c:pt>
                <c:pt idx="4">
                  <c:v>West</c:v>
                </c:pt>
              </c:strCache>
            </c:strRef>
          </c:cat>
          <c:val>
            <c:numRef>
              <c:f>'REGION CONTRIBUTION'!$C$5:$C$10</c:f>
              <c:numCache>
                <c:formatCode>General</c:formatCode>
                <c:ptCount val="5"/>
                <c:pt idx="1">
                  <c:v>1</c:v>
                </c:pt>
                <c:pt idx="3">
                  <c:v>2</c:v>
                </c:pt>
                <c:pt idx="4">
                  <c:v>1</c:v>
                </c:pt>
              </c:numCache>
            </c:numRef>
          </c:val>
          <c:extLst>
            <c:ext xmlns:c16="http://schemas.microsoft.com/office/drawing/2014/chart" uri="{C3380CC4-5D6E-409C-BE32-E72D297353CC}">
              <c16:uniqueId val="{00000001-1EB4-46F8-A4AE-C1D49CADCAE5}"/>
            </c:ext>
          </c:extLst>
        </c:ser>
        <c:ser>
          <c:idx val="2"/>
          <c:order val="2"/>
          <c:tx>
            <c:strRef>
              <c:f>'REGION CONTRIBUTION'!$D$3:$D$4</c:f>
              <c:strCache>
                <c:ptCount val="1"/>
                <c:pt idx="0">
                  <c:v>Fashion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CONTRIBUTION'!$A$5:$A$10</c:f>
              <c:strCache>
                <c:ptCount val="5"/>
                <c:pt idx="0">
                  <c:v>Central</c:v>
                </c:pt>
                <c:pt idx="1">
                  <c:v>East</c:v>
                </c:pt>
                <c:pt idx="2">
                  <c:v>North</c:v>
                </c:pt>
                <c:pt idx="3">
                  <c:v>South</c:v>
                </c:pt>
                <c:pt idx="4">
                  <c:v>West</c:v>
                </c:pt>
              </c:strCache>
            </c:strRef>
          </c:cat>
          <c:val>
            <c:numRef>
              <c:f>'REGION CONTRIBUTION'!$D$5:$D$10</c:f>
              <c:numCache>
                <c:formatCode>General</c:formatCode>
                <c:ptCount val="5"/>
                <c:pt idx="0">
                  <c:v>1</c:v>
                </c:pt>
                <c:pt idx="1">
                  <c:v>1</c:v>
                </c:pt>
                <c:pt idx="2">
                  <c:v>2</c:v>
                </c:pt>
                <c:pt idx="3">
                  <c:v>1</c:v>
                </c:pt>
                <c:pt idx="4">
                  <c:v>1</c:v>
                </c:pt>
              </c:numCache>
            </c:numRef>
          </c:val>
          <c:extLst>
            <c:ext xmlns:c16="http://schemas.microsoft.com/office/drawing/2014/chart" uri="{C3380CC4-5D6E-409C-BE32-E72D297353CC}">
              <c16:uniqueId val="{00000002-1EB4-46F8-A4AE-C1D49CADCAE5}"/>
            </c:ext>
          </c:extLst>
        </c:ser>
        <c:ser>
          <c:idx val="3"/>
          <c:order val="3"/>
          <c:tx>
            <c:strRef>
              <c:f>'REGION CONTRIBUTION'!$E$3:$E$4</c:f>
              <c:strCache>
                <c:ptCount val="1"/>
                <c:pt idx="0">
                  <c:v>Kitchen</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CONTRIBUTION'!$A$5:$A$10</c:f>
              <c:strCache>
                <c:ptCount val="5"/>
                <c:pt idx="0">
                  <c:v>Central</c:v>
                </c:pt>
                <c:pt idx="1">
                  <c:v>East</c:v>
                </c:pt>
                <c:pt idx="2">
                  <c:v>North</c:v>
                </c:pt>
                <c:pt idx="3">
                  <c:v>South</c:v>
                </c:pt>
                <c:pt idx="4">
                  <c:v>West</c:v>
                </c:pt>
              </c:strCache>
            </c:strRef>
          </c:cat>
          <c:val>
            <c:numRef>
              <c:f>'REGION CONTRIBUTION'!$E$5:$E$10</c:f>
              <c:numCache>
                <c:formatCode>General</c:formatCode>
                <c:ptCount val="5"/>
                <c:pt idx="3">
                  <c:v>2</c:v>
                </c:pt>
              </c:numCache>
            </c:numRef>
          </c:val>
          <c:extLst>
            <c:ext xmlns:c16="http://schemas.microsoft.com/office/drawing/2014/chart" uri="{C3380CC4-5D6E-409C-BE32-E72D297353CC}">
              <c16:uniqueId val="{00000003-1EB4-46F8-A4AE-C1D49CADCAE5}"/>
            </c:ext>
          </c:extLst>
        </c:ser>
        <c:ser>
          <c:idx val="4"/>
          <c:order val="4"/>
          <c:tx>
            <c:strRef>
              <c:f>'REGION CONTRIBUTION'!$F$3:$F$4</c:f>
              <c:strCache>
                <c:ptCount val="1"/>
                <c:pt idx="0">
                  <c:v>Outdoor</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CONTRIBUTION'!$A$5:$A$10</c:f>
              <c:strCache>
                <c:ptCount val="5"/>
                <c:pt idx="0">
                  <c:v>Central</c:v>
                </c:pt>
                <c:pt idx="1">
                  <c:v>East</c:v>
                </c:pt>
                <c:pt idx="2">
                  <c:v>North</c:v>
                </c:pt>
                <c:pt idx="3">
                  <c:v>South</c:v>
                </c:pt>
                <c:pt idx="4">
                  <c:v>West</c:v>
                </c:pt>
              </c:strCache>
            </c:strRef>
          </c:cat>
          <c:val>
            <c:numRef>
              <c:f>'REGION CONTRIBUTION'!$F$5:$F$10</c:f>
              <c:numCache>
                <c:formatCode>General</c:formatCode>
                <c:ptCount val="5"/>
                <c:pt idx="1">
                  <c:v>1</c:v>
                </c:pt>
                <c:pt idx="2">
                  <c:v>2</c:v>
                </c:pt>
                <c:pt idx="3">
                  <c:v>2</c:v>
                </c:pt>
                <c:pt idx="4">
                  <c:v>1</c:v>
                </c:pt>
              </c:numCache>
            </c:numRef>
          </c:val>
          <c:extLst>
            <c:ext xmlns:c16="http://schemas.microsoft.com/office/drawing/2014/chart" uri="{C3380CC4-5D6E-409C-BE32-E72D297353CC}">
              <c16:uniqueId val="{00000004-1EB4-46F8-A4AE-C1D49CADCAE5}"/>
            </c:ext>
          </c:extLst>
        </c:ser>
        <c:dLbls>
          <c:showLegendKey val="0"/>
          <c:showVal val="0"/>
          <c:showCatName val="0"/>
          <c:showSerName val="0"/>
          <c:showPercent val="0"/>
          <c:showBubbleSize val="0"/>
        </c:dLbls>
        <c:gapWidth val="100"/>
        <c:overlap val="-24"/>
        <c:axId val="1130268544"/>
        <c:axId val="1130269024"/>
      </c:barChart>
      <c:catAx>
        <c:axId val="113026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269024"/>
        <c:crosses val="autoZero"/>
        <c:auto val="1"/>
        <c:lblAlgn val="ctr"/>
        <c:lblOffset val="100"/>
        <c:noMultiLvlLbl val="0"/>
      </c:catAx>
      <c:valAx>
        <c:axId val="1130269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26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 Coding Challenge.xlsx]REGION CONTRIBUTION!PivotTable1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Region</a:t>
            </a:r>
            <a:r>
              <a:rPr lang="en-IN" baseline="0"/>
              <a:t> vs Category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CONTRIBUTION'!$B$3:$B$4</c:f>
              <c:strCache>
                <c:ptCount val="1"/>
                <c:pt idx="0">
                  <c:v>Accessories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CONTRIBUTION'!$A$5:$A$10</c:f>
              <c:strCache>
                <c:ptCount val="5"/>
                <c:pt idx="0">
                  <c:v>Central</c:v>
                </c:pt>
                <c:pt idx="1">
                  <c:v>East</c:v>
                </c:pt>
                <c:pt idx="2">
                  <c:v>North</c:v>
                </c:pt>
                <c:pt idx="3">
                  <c:v>South</c:v>
                </c:pt>
                <c:pt idx="4">
                  <c:v>West</c:v>
                </c:pt>
              </c:strCache>
            </c:strRef>
          </c:cat>
          <c:val>
            <c:numRef>
              <c:f>'REGION CONTRIBUTION'!$B$5:$B$10</c:f>
              <c:numCache>
                <c:formatCode>General</c:formatCode>
                <c:ptCount val="5"/>
                <c:pt idx="0">
                  <c:v>1</c:v>
                </c:pt>
                <c:pt idx="1">
                  <c:v>2</c:v>
                </c:pt>
                <c:pt idx="2">
                  <c:v>2</c:v>
                </c:pt>
                <c:pt idx="4">
                  <c:v>2</c:v>
                </c:pt>
              </c:numCache>
            </c:numRef>
          </c:val>
          <c:extLst>
            <c:ext xmlns:c16="http://schemas.microsoft.com/office/drawing/2014/chart" uri="{C3380CC4-5D6E-409C-BE32-E72D297353CC}">
              <c16:uniqueId val="{00000000-A8B8-4DAB-8358-9618994240DE}"/>
            </c:ext>
          </c:extLst>
        </c:ser>
        <c:ser>
          <c:idx val="1"/>
          <c:order val="1"/>
          <c:tx>
            <c:strRef>
              <c:f>'REGION CONTRIBUTION'!$C$3:$C$4</c:f>
              <c:strCache>
                <c:ptCount val="1"/>
                <c:pt idx="0">
                  <c:v>Electronics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CONTRIBUTION'!$A$5:$A$10</c:f>
              <c:strCache>
                <c:ptCount val="5"/>
                <c:pt idx="0">
                  <c:v>Central</c:v>
                </c:pt>
                <c:pt idx="1">
                  <c:v>East</c:v>
                </c:pt>
                <c:pt idx="2">
                  <c:v>North</c:v>
                </c:pt>
                <c:pt idx="3">
                  <c:v>South</c:v>
                </c:pt>
                <c:pt idx="4">
                  <c:v>West</c:v>
                </c:pt>
              </c:strCache>
            </c:strRef>
          </c:cat>
          <c:val>
            <c:numRef>
              <c:f>'REGION CONTRIBUTION'!$C$5:$C$10</c:f>
              <c:numCache>
                <c:formatCode>General</c:formatCode>
                <c:ptCount val="5"/>
                <c:pt idx="1">
                  <c:v>1</c:v>
                </c:pt>
                <c:pt idx="3">
                  <c:v>2</c:v>
                </c:pt>
                <c:pt idx="4">
                  <c:v>1</c:v>
                </c:pt>
              </c:numCache>
            </c:numRef>
          </c:val>
          <c:extLst>
            <c:ext xmlns:c16="http://schemas.microsoft.com/office/drawing/2014/chart" uri="{C3380CC4-5D6E-409C-BE32-E72D297353CC}">
              <c16:uniqueId val="{0000000A-A8B8-4DAB-8358-9618994240DE}"/>
            </c:ext>
          </c:extLst>
        </c:ser>
        <c:ser>
          <c:idx val="2"/>
          <c:order val="2"/>
          <c:tx>
            <c:strRef>
              <c:f>'REGION CONTRIBUTION'!$D$3:$D$4</c:f>
              <c:strCache>
                <c:ptCount val="1"/>
                <c:pt idx="0">
                  <c:v>Fashion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CONTRIBUTION'!$A$5:$A$10</c:f>
              <c:strCache>
                <c:ptCount val="5"/>
                <c:pt idx="0">
                  <c:v>Central</c:v>
                </c:pt>
                <c:pt idx="1">
                  <c:v>East</c:v>
                </c:pt>
                <c:pt idx="2">
                  <c:v>North</c:v>
                </c:pt>
                <c:pt idx="3">
                  <c:v>South</c:v>
                </c:pt>
                <c:pt idx="4">
                  <c:v>West</c:v>
                </c:pt>
              </c:strCache>
            </c:strRef>
          </c:cat>
          <c:val>
            <c:numRef>
              <c:f>'REGION CONTRIBUTION'!$D$5:$D$10</c:f>
              <c:numCache>
                <c:formatCode>General</c:formatCode>
                <c:ptCount val="5"/>
                <c:pt idx="0">
                  <c:v>1</c:v>
                </c:pt>
                <c:pt idx="1">
                  <c:v>1</c:v>
                </c:pt>
                <c:pt idx="2">
                  <c:v>2</c:v>
                </c:pt>
                <c:pt idx="3">
                  <c:v>1</c:v>
                </c:pt>
                <c:pt idx="4">
                  <c:v>1</c:v>
                </c:pt>
              </c:numCache>
            </c:numRef>
          </c:val>
          <c:extLst>
            <c:ext xmlns:c16="http://schemas.microsoft.com/office/drawing/2014/chart" uri="{C3380CC4-5D6E-409C-BE32-E72D297353CC}">
              <c16:uniqueId val="{0000000E-A8B8-4DAB-8358-9618994240DE}"/>
            </c:ext>
          </c:extLst>
        </c:ser>
        <c:ser>
          <c:idx val="3"/>
          <c:order val="3"/>
          <c:tx>
            <c:strRef>
              <c:f>'REGION CONTRIBUTION'!$E$3:$E$4</c:f>
              <c:strCache>
                <c:ptCount val="1"/>
                <c:pt idx="0">
                  <c:v>Kitchen</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CONTRIBUTION'!$A$5:$A$10</c:f>
              <c:strCache>
                <c:ptCount val="5"/>
                <c:pt idx="0">
                  <c:v>Central</c:v>
                </c:pt>
                <c:pt idx="1">
                  <c:v>East</c:v>
                </c:pt>
                <c:pt idx="2">
                  <c:v>North</c:v>
                </c:pt>
                <c:pt idx="3">
                  <c:v>South</c:v>
                </c:pt>
                <c:pt idx="4">
                  <c:v>West</c:v>
                </c:pt>
              </c:strCache>
            </c:strRef>
          </c:cat>
          <c:val>
            <c:numRef>
              <c:f>'REGION CONTRIBUTION'!$E$5:$E$10</c:f>
              <c:numCache>
                <c:formatCode>General</c:formatCode>
                <c:ptCount val="5"/>
                <c:pt idx="3">
                  <c:v>2</c:v>
                </c:pt>
              </c:numCache>
            </c:numRef>
          </c:val>
          <c:extLst>
            <c:ext xmlns:c16="http://schemas.microsoft.com/office/drawing/2014/chart" uri="{C3380CC4-5D6E-409C-BE32-E72D297353CC}">
              <c16:uniqueId val="{0000000F-A8B8-4DAB-8358-9618994240DE}"/>
            </c:ext>
          </c:extLst>
        </c:ser>
        <c:ser>
          <c:idx val="4"/>
          <c:order val="4"/>
          <c:tx>
            <c:strRef>
              <c:f>'REGION CONTRIBUTION'!$F$3:$F$4</c:f>
              <c:strCache>
                <c:ptCount val="1"/>
                <c:pt idx="0">
                  <c:v>Outdoor</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CONTRIBUTION'!$A$5:$A$10</c:f>
              <c:strCache>
                <c:ptCount val="5"/>
                <c:pt idx="0">
                  <c:v>Central</c:v>
                </c:pt>
                <c:pt idx="1">
                  <c:v>East</c:v>
                </c:pt>
                <c:pt idx="2">
                  <c:v>North</c:v>
                </c:pt>
                <c:pt idx="3">
                  <c:v>South</c:v>
                </c:pt>
                <c:pt idx="4">
                  <c:v>West</c:v>
                </c:pt>
              </c:strCache>
            </c:strRef>
          </c:cat>
          <c:val>
            <c:numRef>
              <c:f>'REGION CONTRIBUTION'!$F$5:$F$10</c:f>
              <c:numCache>
                <c:formatCode>General</c:formatCode>
                <c:ptCount val="5"/>
                <c:pt idx="1">
                  <c:v>1</c:v>
                </c:pt>
                <c:pt idx="2">
                  <c:v>2</c:v>
                </c:pt>
                <c:pt idx="3">
                  <c:v>2</c:v>
                </c:pt>
                <c:pt idx="4">
                  <c:v>1</c:v>
                </c:pt>
              </c:numCache>
            </c:numRef>
          </c:val>
          <c:extLst>
            <c:ext xmlns:c16="http://schemas.microsoft.com/office/drawing/2014/chart" uri="{C3380CC4-5D6E-409C-BE32-E72D297353CC}">
              <c16:uniqueId val="{00000010-A8B8-4DAB-8358-9618994240DE}"/>
            </c:ext>
          </c:extLst>
        </c:ser>
        <c:dLbls>
          <c:showLegendKey val="0"/>
          <c:showVal val="0"/>
          <c:showCatName val="0"/>
          <c:showSerName val="0"/>
          <c:showPercent val="0"/>
          <c:showBubbleSize val="0"/>
        </c:dLbls>
        <c:gapWidth val="100"/>
        <c:overlap val="-24"/>
        <c:axId val="1130268544"/>
        <c:axId val="1130269024"/>
      </c:barChart>
      <c:catAx>
        <c:axId val="113026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269024"/>
        <c:crosses val="autoZero"/>
        <c:auto val="1"/>
        <c:lblAlgn val="ctr"/>
        <c:lblOffset val="100"/>
        <c:noMultiLvlLbl val="0"/>
      </c:catAx>
      <c:valAx>
        <c:axId val="1130269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26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34290</xdr:rowOff>
    </xdr:from>
    <xdr:to>
      <xdr:col>10</xdr:col>
      <xdr:colOff>312420</xdr:colOff>
      <xdr:row>16</xdr:row>
      <xdr:rowOff>34290</xdr:rowOff>
    </xdr:to>
    <xdr:graphicFrame macro="">
      <xdr:nvGraphicFramePr>
        <xdr:cNvPr id="2" name="Chart 1">
          <a:extLst>
            <a:ext uri="{FF2B5EF4-FFF2-40B4-BE49-F238E27FC236}">
              <a16:creationId xmlns:a16="http://schemas.microsoft.com/office/drawing/2014/main" id="{21D5740E-E80B-BD75-1FDC-2A833EC23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144780</xdr:colOff>
      <xdr:row>1</xdr:row>
      <xdr:rowOff>106680</xdr:rowOff>
    </xdr:from>
    <xdr:to>
      <xdr:col>14</xdr:col>
      <xdr:colOff>144780</xdr:colOff>
      <xdr:row>15</xdr:row>
      <xdr:rowOff>13335</xdr:rowOff>
    </xdr:to>
    <mc:AlternateContent xmlns:mc="http://schemas.openxmlformats.org/markup-compatibility/2006" xmlns:a14="http://schemas.microsoft.com/office/drawing/2010/main">
      <mc:Choice Requires="a14">
        <xdr:graphicFrame macro="">
          <xdr:nvGraphicFramePr>
            <xdr:cNvPr id="3" name="OrderDate">
              <a:extLst>
                <a:ext uri="{FF2B5EF4-FFF2-40B4-BE49-F238E27FC236}">
                  <a16:creationId xmlns:a16="http://schemas.microsoft.com/office/drawing/2014/main" id="{E9353247-B50D-28A5-45C7-5E2D7CAB6329}"/>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7780020" y="289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xdr:colOff>
      <xdr:row>1</xdr:row>
      <xdr:rowOff>114300</xdr:rowOff>
    </xdr:from>
    <xdr:to>
      <xdr:col>18</xdr:col>
      <xdr:colOff>15240</xdr:colOff>
      <xdr:row>15</xdr:row>
      <xdr:rowOff>20955</xdr:rowOff>
    </xdr:to>
    <mc:AlternateContent xmlns:mc="http://schemas.openxmlformats.org/markup-compatibility/2006" xmlns:a14="http://schemas.microsoft.com/office/drawing/2010/main">
      <mc:Choice Requires="a14">
        <xdr:graphicFrame macro="">
          <xdr:nvGraphicFramePr>
            <xdr:cNvPr id="4" name="ProductID">
              <a:extLst>
                <a:ext uri="{FF2B5EF4-FFF2-40B4-BE49-F238E27FC236}">
                  <a16:creationId xmlns:a16="http://schemas.microsoft.com/office/drawing/2014/main" id="{CFDE1468-1B66-B5F2-4D01-E32961BF4219}"/>
                </a:ext>
              </a:extLst>
            </xdr:cNvPr>
            <xdr:cNvGraphicFramePr/>
          </xdr:nvGraphicFramePr>
          <xdr:xfrm>
            <a:off x="0" y="0"/>
            <a:ext cx="0" cy="0"/>
          </xdr:xfrm>
          <a:graphic>
            <a:graphicData uri="http://schemas.microsoft.com/office/drawing/2010/slicer">
              <sle:slicer xmlns:sle="http://schemas.microsoft.com/office/drawing/2010/slicer" name="ProductID"/>
            </a:graphicData>
          </a:graphic>
        </xdr:graphicFrame>
      </mc:Choice>
      <mc:Fallback xmlns="">
        <xdr:sp macro="" textlink="">
          <xdr:nvSpPr>
            <xdr:cNvPr id="0" name=""/>
            <xdr:cNvSpPr>
              <a:spLocks noTextEdit="1"/>
            </xdr:cNvSpPr>
          </xdr:nvSpPr>
          <xdr:spPr>
            <a:xfrm>
              <a:off x="10088880" y="29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312420</xdr:colOff>
      <xdr:row>0</xdr:row>
      <xdr:rowOff>87630</xdr:rowOff>
    </xdr:from>
    <xdr:to>
      <xdr:col>10</xdr:col>
      <xdr:colOff>7620</xdr:colOff>
      <xdr:row>15</xdr:row>
      <xdr:rowOff>87630</xdr:rowOff>
    </xdr:to>
    <xdr:graphicFrame macro="">
      <xdr:nvGraphicFramePr>
        <xdr:cNvPr id="2" name="Chart 1">
          <a:extLst>
            <a:ext uri="{FF2B5EF4-FFF2-40B4-BE49-F238E27FC236}">
              <a16:creationId xmlns:a16="http://schemas.microsoft.com/office/drawing/2014/main" id="{A21FE8E1-3BFE-34BE-DC9C-AED03441B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495300</xdr:colOff>
      <xdr:row>1</xdr:row>
      <xdr:rowOff>34290</xdr:rowOff>
    </xdr:from>
    <xdr:to>
      <xdr:col>10</xdr:col>
      <xdr:colOff>190500</xdr:colOff>
      <xdr:row>16</xdr:row>
      <xdr:rowOff>34290</xdr:rowOff>
    </xdr:to>
    <xdr:graphicFrame macro="">
      <xdr:nvGraphicFramePr>
        <xdr:cNvPr id="2" name="Chart 1">
          <a:extLst>
            <a:ext uri="{FF2B5EF4-FFF2-40B4-BE49-F238E27FC236}">
              <a16:creationId xmlns:a16="http://schemas.microsoft.com/office/drawing/2014/main" id="{4522CACB-23BC-4032-17C0-3B6BB55D8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350520</xdr:colOff>
      <xdr:row>1</xdr:row>
      <xdr:rowOff>15240</xdr:rowOff>
    </xdr:from>
    <xdr:to>
      <xdr:col>14</xdr:col>
      <xdr:colOff>350679</xdr:colOff>
      <xdr:row>14</xdr:row>
      <xdr:rowOff>112991</xdr:rowOff>
    </xdr:to>
    <xdr:pic>
      <xdr:nvPicPr>
        <xdr:cNvPr id="2" name="Picture 1">
          <a:extLst>
            <a:ext uri="{FF2B5EF4-FFF2-40B4-BE49-F238E27FC236}">
              <a16:creationId xmlns:a16="http://schemas.microsoft.com/office/drawing/2014/main" id="{918DE6C6-CFEF-24D0-1841-7E0E79E87CF8}"/>
            </a:ext>
          </a:extLst>
        </xdr:cNvPr>
        <xdr:cNvPicPr>
          <a:picLocks noChangeAspect="1"/>
        </xdr:cNvPicPr>
      </xdr:nvPicPr>
      <xdr:blipFill>
        <a:blip xmlns:r="http://schemas.openxmlformats.org/officeDocument/2006/relationships" r:embed="rId1"/>
        <a:stretch>
          <a:fillRect/>
        </a:stretch>
      </xdr:blipFill>
      <xdr:spPr>
        <a:xfrm>
          <a:off x="9525000" y="198120"/>
          <a:ext cx="1828959" cy="24751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144780</xdr:colOff>
      <xdr:row>4</xdr:row>
      <xdr:rowOff>30480</xdr:rowOff>
    </xdr:from>
    <xdr:to>
      <xdr:col>7</xdr:col>
      <xdr:colOff>449580</xdr:colOff>
      <xdr:row>19</xdr:row>
      <xdr:rowOff>30480</xdr:rowOff>
    </xdr:to>
    <xdr:graphicFrame macro="">
      <xdr:nvGraphicFramePr>
        <xdr:cNvPr id="2" name="Chart 1">
          <a:extLst>
            <a:ext uri="{FF2B5EF4-FFF2-40B4-BE49-F238E27FC236}">
              <a16:creationId xmlns:a16="http://schemas.microsoft.com/office/drawing/2014/main" id="{5451BD23-2D45-4085-9A81-3A98282FE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60960</xdr:colOff>
      <xdr:row>4</xdr:row>
      <xdr:rowOff>45720</xdr:rowOff>
    </xdr:from>
    <xdr:to>
      <xdr:col>13</xdr:col>
      <xdr:colOff>350520</xdr:colOff>
      <xdr:row>19</xdr:row>
      <xdr:rowOff>45720</xdr:rowOff>
    </xdr:to>
    <xdr:graphicFrame macro="">
      <xdr:nvGraphicFramePr>
        <xdr:cNvPr id="3" name="Chart 2">
          <a:extLst>
            <a:ext uri="{FF2B5EF4-FFF2-40B4-BE49-F238E27FC236}">
              <a16:creationId xmlns:a16="http://schemas.microsoft.com/office/drawing/2014/main" id="{B03B3868-CB75-425F-BA04-8FB72952F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45720</xdr:colOff>
      <xdr:row>4</xdr:row>
      <xdr:rowOff>60960</xdr:rowOff>
    </xdr:from>
    <xdr:to>
      <xdr:col>21</xdr:col>
      <xdr:colOff>350520</xdr:colOff>
      <xdr:row>19</xdr:row>
      <xdr:rowOff>60960</xdr:rowOff>
    </xdr:to>
    <xdr:graphicFrame macro="">
      <xdr:nvGraphicFramePr>
        <xdr:cNvPr id="4" name="Chart 3">
          <a:extLst>
            <a:ext uri="{FF2B5EF4-FFF2-40B4-BE49-F238E27FC236}">
              <a16:creationId xmlns:a16="http://schemas.microsoft.com/office/drawing/2014/main" id="{52B56D8C-1E96-49CC-9DE1-D57B683AF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152400</xdr:colOff>
      <xdr:row>20</xdr:row>
      <xdr:rowOff>0</xdr:rowOff>
    </xdr:from>
    <xdr:to>
      <xdr:col>3</xdr:col>
      <xdr:colOff>152400</xdr:colOff>
      <xdr:row>33</xdr:row>
      <xdr:rowOff>89535</xdr:rowOff>
    </xdr:to>
    <mc:AlternateContent xmlns:mc="http://schemas.openxmlformats.org/markup-compatibility/2006" xmlns:a14="http://schemas.microsoft.com/office/drawing/2010/main">
      <mc:Choice Requires="a14">
        <xdr:graphicFrame macro="">
          <xdr:nvGraphicFramePr>
            <xdr:cNvPr id="5" name="OrderDate 1">
              <a:extLst>
                <a:ext uri="{FF2B5EF4-FFF2-40B4-BE49-F238E27FC236}">
                  <a16:creationId xmlns:a16="http://schemas.microsoft.com/office/drawing/2014/main" id="{23614950-05BE-40B8-AA38-858DEE930BF5}"/>
                </a:ext>
              </a:extLst>
            </xdr:cNvPr>
            <xdr:cNvGraphicFramePr/>
          </xdr:nvGraphicFramePr>
          <xdr:xfrm>
            <a:off x="0" y="0"/>
            <a:ext cx="0" cy="0"/>
          </xdr:xfrm>
          <a:graphic>
            <a:graphicData uri="http://schemas.microsoft.com/office/drawing/2010/slicer">
              <sle:slicer xmlns:sle="http://schemas.microsoft.com/office/drawing/2010/slicer" name="OrderDate 1"/>
            </a:graphicData>
          </a:graphic>
        </xdr:graphicFrame>
      </mc:Choice>
      <mc:Fallback xmlns="">
        <xdr:sp macro="" textlink="">
          <xdr:nvSpPr>
            <xdr:cNvPr id="0" name=""/>
            <xdr:cNvSpPr>
              <a:spLocks noTextEdit="1"/>
            </xdr:cNvSpPr>
          </xdr:nvSpPr>
          <xdr:spPr>
            <a:xfrm>
              <a:off x="152400" y="3657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510540</xdr:colOff>
      <xdr:row>20</xdr:row>
      <xdr:rowOff>15240</xdr:rowOff>
    </xdr:from>
    <xdr:to>
      <xdr:col>6</xdr:col>
      <xdr:colOff>510540</xdr:colOff>
      <xdr:row>33</xdr:row>
      <xdr:rowOff>104775</xdr:rowOff>
    </xdr:to>
    <mc:AlternateContent xmlns:mc="http://schemas.openxmlformats.org/markup-compatibility/2006" xmlns:a14="http://schemas.microsoft.com/office/drawing/2010/main">
      <mc:Choice Requires="a14">
        <xdr:graphicFrame macro="">
          <xdr:nvGraphicFramePr>
            <xdr:cNvPr id="6" name="ProductID 1">
              <a:extLst>
                <a:ext uri="{FF2B5EF4-FFF2-40B4-BE49-F238E27FC236}">
                  <a16:creationId xmlns:a16="http://schemas.microsoft.com/office/drawing/2014/main" id="{95C929BB-3AC0-4B51-9598-03827A0AABE9}"/>
                </a:ext>
              </a:extLst>
            </xdr:cNvPr>
            <xdr:cNvGraphicFramePr/>
          </xdr:nvGraphicFramePr>
          <xdr:xfrm>
            <a:off x="0" y="0"/>
            <a:ext cx="0" cy="0"/>
          </xdr:xfrm>
          <a:graphic>
            <a:graphicData uri="http://schemas.microsoft.com/office/drawing/2010/slicer">
              <sle:slicer xmlns:sle="http://schemas.microsoft.com/office/drawing/2010/slicer" name="ProductID 1"/>
            </a:graphicData>
          </a:graphic>
        </xdr:graphicFrame>
      </mc:Choice>
      <mc:Fallback xmlns="">
        <xdr:sp macro="" textlink="">
          <xdr:nvSpPr>
            <xdr:cNvPr id="0" name=""/>
            <xdr:cNvSpPr>
              <a:spLocks noTextEdit="1"/>
            </xdr:cNvSpPr>
          </xdr:nvSpPr>
          <xdr:spPr>
            <a:xfrm>
              <a:off x="2339340" y="3672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76200</xdr:colOff>
      <xdr:row>20</xdr:row>
      <xdr:rowOff>30480</xdr:rowOff>
    </xdr:from>
    <xdr:to>
      <xdr:col>21</xdr:col>
      <xdr:colOff>381000</xdr:colOff>
      <xdr:row>35</xdr:row>
      <xdr:rowOff>30480</xdr:rowOff>
    </xdr:to>
    <xdr:graphicFrame macro="">
      <xdr:nvGraphicFramePr>
        <xdr:cNvPr id="8" name="Chart 7">
          <a:extLst>
            <a:ext uri="{FF2B5EF4-FFF2-40B4-BE49-F238E27FC236}">
              <a16:creationId xmlns:a16="http://schemas.microsoft.com/office/drawing/2014/main" id="{2DF52A77-4938-4E86-9953-F44438F42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10</xdr:col>
      <xdr:colOff>510540</xdr:colOff>
      <xdr:row>20</xdr:row>
      <xdr:rowOff>68581</xdr:rowOff>
    </xdr:from>
    <xdr:to>
      <xdr:col>13</xdr:col>
      <xdr:colOff>510540</xdr:colOff>
      <xdr:row>29</xdr:row>
      <xdr:rowOff>91441</xdr:rowOff>
    </xdr:to>
    <mc:AlternateContent xmlns:mc="http://schemas.openxmlformats.org/markup-compatibility/2006" xmlns:sle15="http://schemas.microsoft.com/office/drawing/2012/slicer">
      <mc:Choice Requires="sle15">
        <xdr:graphicFrame macro="">
          <xdr:nvGraphicFramePr>
            <xdr:cNvPr id="9" name="RegionID 1">
              <a:extLst>
                <a:ext uri="{FF2B5EF4-FFF2-40B4-BE49-F238E27FC236}">
                  <a16:creationId xmlns:a16="http://schemas.microsoft.com/office/drawing/2014/main" id="{E0A783D1-17FA-4233-B6ED-B9445AE534A0}"/>
                </a:ext>
              </a:extLst>
            </xdr:cNvPr>
            <xdr:cNvGraphicFramePr/>
          </xdr:nvGraphicFramePr>
          <xdr:xfrm>
            <a:off x="0" y="0"/>
            <a:ext cx="0" cy="0"/>
          </xdr:xfrm>
          <a:graphic>
            <a:graphicData uri="http://schemas.microsoft.com/office/drawing/2010/slicer">
              <sle:slicer xmlns:sle="http://schemas.microsoft.com/office/drawing/2010/slicer" name="RegionID 1"/>
            </a:graphicData>
          </a:graphic>
        </xdr:graphicFrame>
      </mc:Choice>
      <mc:Fallback xmlns="">
        <xdr:sp macro="" textlink="">
          <xdr:nvSpPr>
            <xdr:cNvPr id="0" name=""/>
            <xdr:cNvSpPr>
              <a:spLocks noTextEdit="1"/>
            </xdr:cNvSpPr>
          </xdr:nvSpPr>
          <xdr:spPr>
            <a:xfrm>
              <a:off x="7894320" y="372618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525780</xdr:colOff>
      <xdr:row>29</xdr:row>
      <xdr:rowOff>114301</xdr:rowOff>
    </xdr:from>
    <xdr:to>
      <xdr:col>13</xdr:col>
      <xdr:colOff>525780</xdr:colOff>
      <xdr:row>38</xdr:row>
      <xdr:rowOff>160021</xdr:rowOff>
    </xdr:to>
    <mc:AlternateContent xmlns:mc="http://schemas.openxmlformats.org/markup-compatibility/2006" xmlns:sle15="http://schemas.microsoft.com/office/drawing/2012/slicer">
      <mc:Choice Requires="sle15">
        <xdr:graphicFrame macro="">
          <xdr:nvGraphicFramePr>
            <xdr:cNvPr id="10" name="RegionName 1">
              <a:extLst>
                <a:ext uri="{FF2B5EF4-FFF2-40B4-BE49-F238E27FC236}">
                  <a16:creationId xmlns:a16="http://schemas.microsoft.com/office/drawing/2014/main" id="{0A862293-2D86-40BC-8149-B1F1DDDAFA36}"/>
                </a:ext>
              </a:extLst>
            </xdr:cNvPr>
            <xdr:cNvGraphicFramePr/>
          </xdr:nvGraphicFramePr>
          <xdr:xfrm>
            <a:off x="0" y="0"/>
            <a:ext cx="0" cy="0"/>
          </xdr:xfrm>
          <a:graphic>
            <a:graphicData uri="http://schemas.microsoft.com/office/drawing/2010/slicer">
              <sle:slicer xmlns:sle="http://schemas.microsoft.com/office/drawing/2010/slicer" name="RegionName 1"/>
            </a:graphicData>
          </a:graphic>
        </xdr:graphicFrame>
      </mc:Choice>
      <mc:Fallback xmlns="">
        <xdr:sp macro="" textlink="">
          <xdr:nvSpPr>
            <xdr:cNvPr id="0" name=""/>
            <xdr:cNvSpPr>
              <a:spLocks noTextEdit="1"/>
            </xdr:cNvSpPr>
          </xdr:nvSpPr>
          <xdr:spPr>
            <a:xfrm>
              <a:off x="7909560" y="541782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220980</xdr:colOff>
      <xdr:row>1</xdr:row>
      <xdr:rowOff>95250</xdr:rowOff>
    </xdr:from>
    <xdr:to>
      <xdr:col>14</xdr:col>
      <xdr:colOff>525780</xdr:colOff>
      <xdr:row>16</xdr:row>
      <xdr:rowOff>95250</xdr:rowOff>
    </xdr:to>
    <xdr:graphicFrame macro="">
      <xdr:nvGraphicFramePr>
        <xdr:cNvPr id="3" name="Chart 2">
          <a:extLst>
            <a:ext uri="{FF2B5EF4-FFF2-40B4-BE49-F238E27FC236}">
              <a16:creationId xmlns:a16="http://schemas.microsoft.com/office/drawing/2014/main" id="{B9122AAF-C4E3-BBF5-769A-152E7B7B2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9</xdr:col>
      <xdr:colOff>137160</xdr:colOff>
      <xdr:row>5</xdr:row>
      <xdr:rowOff>121920</xdr:rowOff>
    </xdr:from>
    <xdr:to>
      <xdr:col>12</xdr:col>
      <xdr:colOff>137160</xdr:colOff>
      <xdr:row>19</xdr:row>
      <xdr:rowOff>28575</xdr:rowOff>
    </xdr:to>
    <mc:AlternateContent xmlns:mc="http://schemas.openxmlformats.org/markup-compatibility/2006" xmlns:sle15="http://schemas.microsoft.com/office/drawing/2012/slicer">
      <mc:Choice Requires="sle15">
        <xdr:graphicFrame macro="">
          <xdr:nvGraphicFramePr>
            <xdr:cNvPr id="2" name="RegionID">
              <a:extLst>
                <a:ext uri="{FF2B5EF4-FFF2-40B4-BE49-F238E27FC236}">
                  <a16:creationId xmlns:a16="http://schemas.microsoft.com/office/drawing/2014/main" id="{F2B366CD-5B28-D7C4-86A4-A32F94DB3A65}"/>
                </a:ext>
              </a:extLst>
            </xdr:cNvPr>
            <xdr:cNvGraphicFramePr/>
          </xdr:nvGraphicFramePr>
          <xdr:xfrm>
            <a:off x="0" y="0"/>
            <a:ext cx="0" cy="0"/>
          </xdr:xfrm>
          <a:graphic>
            <a:graphicData uri="http://schemas.microsoft.com/office/drawing/2010/slicer">
              <sle:slicer xmlns:sle="http://schemas.microsoft.com/office/drawing/2010/slicer" name="RegionID"/>
            </a:graphicData>
          </a:graphic>
        </xdr:graphicFrame>
      </mc:Choice>
      <mc:Fallback xmlns="">
        <xdr:sp macro="" textlink="">
          <xdr:nvSpPr>
            <xdr:cNvPr id="0" name=""/>
            <xdr:cNvSpPr>
              <a:spLocks noTextEdit="1"/>
            </xdr:cNvSpPr>
          </xdr:nvSpPr>
          <xdr:spPr>
            <a:xfrm>
              <a:off x="6057900" y="1036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327660</xdr:colOff>
      <xdr:row>5</xdr:row>
      <xdr:rowOff>106680</xdr:rowOff>
    </xdr:from>
    <xdr:to>
      <xdr:col>15</xdr:col>
      <xdr:colOff>327660</xdr:colOff>
      <xdr:row>19</xdr:row>
      <xdr:rowOff>13335</xdr:rowOff>
    </xdr:to>
    <mc:AlternateContent xmlns:mc="http://schemas.openxmlformats.org/markup-compatibility/2006" xmlns:sle15="http://schemas.microsoft.com/office/drawing/2012/slicer">
      <mc:Choice Requires="sle15">
        <xdr:graphicFrame macro="">
          <xdr:nvGraphicFramePr>
            <xdr:cNvPr id="3" name="RegionName">
              <a:extLst>
                <a:ext uri="{FF2B5EF4-FFF2-40B4-BE49-F238E27FC236}">
                  <a16:creationId xmlns:a16="http://schemas.microsoft.com/office/drawing/2014/main" id="{253B4960-54A3-CA6E-1518-01A14DD94D29}"/>
                </a:ext>
              </a:extLst>
            </xdr:cNvPr>
            <xdr:cNvGraphicFramePr/>
          </xdr:nvGraphicFramePr>
          <xdr:xfrm>
            <a:off x="0" y="0"/>
            <a:ext cx="0" cy="0"/>
          </xdr:xfrm>
          <a:graphic>
            <a:graphicData uri="http://schemas.microsoft.com/office/drawing/2010/slicer">
              <sle:slicer xmlns:sle="http://schemas.microsoft.com/office/drawing/2010/slicer" name="RegionName"/>
            </a:graphicData>
          </a:graphic>
        </xdr:graphicFrame>
      </mc:Choice>
      <mc:Fallback xmlns="">
        <xdr:sp macro="" textlink="">
          <xdr:nvSpPr>
            <xdr:cNvPr id="0" name=""/>
            <xdr:cNvSpPr>
              <a:spLocks noTextEdit="1"/>
            </xdr:cNvSpPr>
          </xdr:nvSpPr>
          <xdr:spPr>
            <a:xfrm>
              <a:off x="8077200" y="1021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o Jacob" refreshedDate="46061.970724537037" createdVersion="8" refreshedVersion="8" minRefreshableVersion="3" recordCount="25" xr:uid="{BE77F192-5CAF-4A12-A82B-743A762156F0}">
  <cacheSource type="worksheet">
    <worksheetSource ref="A1:G26" sheet="Sales"/>
  </cacheSource>
  <cacheFields count="8">
    <cacheField name="OrderID" numFmtId="0">
      <sharedItems containsSemiMixedTypes="0" containsString="0" containsNumber="1" containsInteger="1" minValue="1001" maxValue="1025"/>
    </cacheField>
    <cacheField name="OrderDate" numFmtId="164">
      <sharedItems containsSemiMixedTypes="0" containsNonDate="0" containsDate="1" containsString="0" minDate="2024-01-02T00:00:00" maxDate="2024-06-30T00:00:00" count="24">
        <d v="2024-06-12T00:00:00"/>
        <d v="2024-03-03T00:00:00"/>
        <d v="2024-06-22T00:00:00"/>
        <d v="2024-04-18T00:00:00"/>
        <d v="2024-02-29T00:00:00"/>
        <d v="2024-02-20T00:00:00"/>
        <d v="2024-04-24T00:00:00"/>
        <d v="2024-01-02T00:00:00"/>
        <d v="2024-03-28T00:00:00"/>
        <d v="2024-03-27T00:00:00"/>
        <d v="2024-04-01T00:00:00"/>
        <d v="2024-01-12T00:00:00"/>
        <d v="2024-04-06T00:00:00"/>
        <d v="2024-06-09T00:00:00"/>
        <d v="2024-06-29T00:00:00"/>
        <d v="2024-03-15T00:00:00"/>
        <d v="2024-04-07T00:00:00"/>
        <d v="2024-04-03T00:00:00"/>
        <d v="2024-06-20T00:00:00"/>
        <d v="2024-02-13T00:00:00"/>
        <d v="2024-03-24T00:00:00"/>
        <d v="2024-01-09T00:00:00"/>
        <d v="2024-02-24T00:00:00"/>
        <d v="2024-05-07T00:00:00"/>
      </sharedItems>
      <fieldGroup par="7"/>
    </cacheField>
    <cacheField name="Weekday" numFmtId="164">
      <sharedItems count="7">
        <s v="Wednesday"/>
        <s v="Sunday"/>
        <s v="Saturday"/>
        <s v="Thursday"/>
        <s v="Tuesday"/>
        <s v="Monday"/>
        <s v="Friday"/>
      </sharedItems>
    </cacheField>
    <cacheField name="ProductID" numFmtId="0">
      <sharedItems count="16">
        <s v="P4"/>
        <s v="P8"/>
        <s v="P24"/>
        <s v="P2"/>
        <s v="P17"/>
        <s v="P23"/>
        <s v="P19"/>
        <s v="P25"/>
        <s v="P9"/>
        <s v="P12"/>
        <s v="P3"/>
        <s v="P20"/>
        <s v="P6"/>
        <s v="P18"/>
        <s v="P11"/>
        <s v="P13"/>
      </sharedItems>
    </cacheField>
    <cacheField name="Quantity" numFmtId="0">
      <sharedItems containsSemiMixedTypes="0" containsString="0" containsNumber="1" containsInteger="1" minValue="1" maxValue="10"/>
    </cacheField>
    <cacheField name="SalesAmount" numFmtId="0">
      <sharedItems containsSemiMixedTypes="0" containsString="0" containsNumber="1" minValue="92.16" maxValue="2688.46"/>
    </cacheField>
    <cacheField name="Days (OrderDate)" numFmtId="0" databaseField="0">
      <fieldGroup base="1">
        <rangePr groupBy="days" startDate="2024-01-02T00:00:00" endDate="2024-06-30T00:00:00"/>
        <groupItems count="368">
          <s v="&lt;02-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4"/>
        </groupItems>
      </fieldGroup>
    </cacheField>
    <cacheField name="Months (OrderDate)" numFmtId="0" databaseField="0">
      <fieldGroup base="1">
        <rangePr groupBy="months" startDate="2024-01-02T00:00:00" endDate="2024-06-30T00:00:00"/>
        <groupItems count="14">
          <s v="&lt;02-01-2024"/>
          <s v="Jan"/>
          <s v="Feb"/>
          <s v="Mar"/>
          <s v="Apr"/>
          <s v="May"/>
          <s v="Jun"/>
          <s v="Jul"/>
          <s v="Aug"/>
          <s v="Sep"/>
          <s v="Oct"/>
          <s v="Nov"/>
          <s v="Dec"/>
          <s v="&gt;30-06-2024"/>
        </groupItems>
      </fieldGroup>
    </cacheField>
  </cacheFields>
  <extLst>
    <ext xmlns:x14="http://schemas.microsoft.com/office/spreadsheetml/2009/9/main" uri="{725AE2AE-9491-48be-B2B4-4EB974FC3084}">
      <x14:pivotCacheDefinition pivotCacheId="7270414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o Jacob" refreshedDate="46062.053114236114" createdVersion="8" refreshedVersion="8" minRefreshableVersion="3" recordCount="25" xr:uid="{345DDD3F-26BF-46BF-861B-63F1CB465FF5}">
  <cacheSource type="worksheet">
    <worksheetSource name="Table3"/>
  </cacheSource>
  <cacheFields count="4">
    <cacheField name="ProductID" numFmtId="0">
      <sharedItems/>
    </cacheField>
    <cacheField name="ProductName" numFmtId="0">
      <sharedItems/>
    </cacheField>
    <cacheField name="Category" numFmtId="0">
      <sharedItems count="5">
        <s v="Fashion"/>
        <s v="Accessories"/>
        <s v="Kitchen"/>
        <s v="Outdoor"/>
        <s v="Electronics"/>
      </sharedItems>
    </cacheField>
    <cacheField name="Region" numFmtId="0">
      <sharedItems count="5">
        <s v="North"/>
        <s v="South"/>
        <s v="East"/>
        <s v="West"/>
        <s v="Centra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001"/>
    <x v="0"/>
    <x v="0"/>
    <x v="0"/>
    <n v="1"/>
    <n v="383.7"/>
  </r>
  <r>
    <n v="1002"/>
    <x v="1"/>
    <x v="1"/>
    <x v="1"/>
    <n v="3"/>
    <n v="1144.24"/>
  </r>
  <r>
    <n v="1003"/>
    <x v="2"/>
    <x v="2"/>
    <x v="2"/>
    <n v="9"/>
    <n v="802.1"/>
  </r>
  <r>
    <n v="1004"/>
    <x v="3"/>
    <x v="3"/>
    <x v="3"/>
    <n v="1"/>
    <n v="92.16"/>
  </r>
  <r>
    <n v="1005"/>
    <x v="4"/>
    <x v="3"/>
    <x v="4"/>
    <n v="10"/>
    <n v="619.41"/>
  </r>
  <r>
    <n v="1006"/>
    <x v="5"/>
    <x v="4"/>
    <x v="5"/>
    <n v="9"/>
    <n v="2149.06"/>
  </r>
  <r>
    <n v="1007"/>
    <x v="6"/>
    <x v="0"/>
    <x v="6"/>
    <n v="5"/>
    <n v="2071.2199999999998"/>
  </r>
  <r>
    <n v="1008"/>
    <x v="7"/>
    <x v="4"/>
    <x v="7"/>
    <n v="3"/>
    <n v="1092.49"/>
  </r>
  <r>
    <n v="1009"/>
    <x v="8"/>
    <x v="3"/>
    <x v="8"/>
    <n v="3"/>
    <n v="440.67"/>
  </r>
  <r>
    <n v="1010"/>
    <x v="9"/>
    <x v="0"/>
    <x v="0"/>
    <n v="2"/>
    <n v="441.93"/>
  </r>
  <r>
    <n v="1011"/>
    <x v="10"/>
    <x v="5"/>
    <x v="9"/>
    <n v="10"/>
    <n v="1690.34"/>
  </r>
  <r>
    <n v="1012"/>
    <x v="11"/>
    <x v="6"/>
    <x v="2"/>
    <n v="8"/>
    <n v="2330.42"/>
  </r>
  <r>
    <n v="1013"/>
    <x v="12"/>
    <x v="2"/>
    <x v="10"/>
    <n v="9"/>
    <n v="1637.37"/>
  </r>
  <r>
    <n v="1014"/>
    <x v="13"/>
    <x v="1"/>
    <x v="11"/>
    <n v="6"/>
    <n v="1858.85"/>
  </r>
  <r>
    <n v="1015"/>
    <x v="14"/>
    <x v="2"/>
    <x v="10"/>
    <n v="1"/>
    <n v="347.57"/>
  </r>
  <r>
    <n v="1016"/>
    <x v="15"/>
    <x v="6"/>
    <x v="10"/>
    <n v="4"/>
    <n v="1759.67"/>
  </r>
  <r>
    <n v="1017"/>
    <x v="16"/>
    <x v="1"/>
    <x v="8"/>
    <n v="8"/>
    <n v="2688.46"/>
  </r>
  <r>
    <n v="1018"/>
    <x v="17"/>
    <x v="0"/>
    <x v="12"/>
    <n v="6"/>
    <n v="1259.23"/>
  </r>
  <r>
    <n v="1019"/>
    <x v="18"/>
    <x v="3"/>
    <x v="8"/>
    <n v="2"/>
    <n v="648.22"/>
  </r>
  <r>
    <n v="1020"/>
    <x v="19"/>
    <x v="4"/>
    <x v="13"/>
    <n v="4"/>
    <n v="494.12"/>
  </r>
  <r>
    <n v="1021"/>
    <x v="16"/>
    <x v="1"/>
    <x v="8"/>
    <n v="9"/>
    <n v="1339.44"/>
  </r>
  <r>
    <n v="1022"/>
    <x v="20"/>
    <x v="1"/>
    <x v="7"/>
    <n v="1"/>
    <n v="153.07"/>
  </r>
  <r>
    <n v="1023"/>
    <x v="21"/>
    <x v="4"/>
    <x v="14"/>
    <n v="7"/>
    <n v="1193.3800000000001"/>
  </r>
  <r>
    <n v="1024"/>
    <x v="22"/>
    <x v="2"/>
    <x v="6"/>
    <n v="6"/>
    <n v="874.09"/>
  </r>
  <r>
    <n v="1025"/>
    <x v="23"/>
    <x v="4"/>
    <x v="15"/>
    <n v="8"/>
    <n v="914.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P1"/>
    <s v="Product 1"/>
    <x v="0"/>
    <x v="0"/>
  </r>
  <r>
    <s v="P2"/>
    <s v="Product 2"/>
    <x v="0"/>
    <x v="1"/>
  </r>
  <r>
    <s v="P3"/>
    <s v="Product 3"/>
    <x v="1"/>
    <x v="2"/>
  </r>
  <r>
    <s v="P4"/>
    <s v="Product 4"/>
    <x v="1"/>
    <x v="0"/>
  </r>
  <r>
    <s v="P5"/>
    <s v="Product 5"/>
    <x v="2"/>
    <x v="1"/>
  </r>
  <r>
    <s v="P6"/>
    <s v="Product 6"/>
    <x v="1"/>
    <x v="2"/>
  </r>
  <r>
    <s v="P7"/>
    <s v="Product 7"/>
    <x v="3"/>
    <x v="3"/>
  </r>
  <r>
    <s v="P8"/>
    <s v="Product 8"/>
    <x v="1"/>
    <x v="4"/>
  </r>
  <r>
    <s v="P9"/>
    <s v="Product 9"/>
    <x v="3"/>
    <x v="0"/>
  </r>
  <r>
    <s v="P10"/>
    <s v="Product 10"/>
    <x v="2"/>
    <x v="1"/>
  </r>
  <r>
    <s v="P11"/>
    <s v="Product 11"/>
    <x v="0"/>
    <x v="2"/>
  </r>
  <r>
    <s v="P12"/>
    <s v="Product 12"/>
    <x v="0"/>
    <x v="3"/>
  </r>
  <r>
    <s v="P13"/>
    <s v="Product 13"/>
    <x v="1"/>
    <x v="3"/>
  </r>
  <r>
    <s v="P14"/>
    <s v="Product 14"/>
    <x v="3"/>
    <x v="0"/>
  </r>
  <r>
    <s v="P15"/>
    <s v="Product 15"/>
    <x v="4"/>
    <x v="1"/>
  </r>
  <r>
    <s v="P16"/>
    <s v="Product 16"/>
    <x v="4"/>
    <x v="2"/>
  </r>
  <r>
    <s v="P17"/>
    <s v="Product 17"/>
    <x v="4"/>
    <x v="3"/>
  </r>
  <r>
    <s v="P18"/>
    <s v="Product 18"/>
    <x v="0"/>
    <x v="4"/>
  </r>
  <r>
    <s v="P19"/>
    <s v="Product 19"/>
    <x v="0"/>
    <x v="0"/>
  </r>
  <r>
    <s v="P20"/>
    <s v="Product 20"/>
    <x v="3"/>
    <x v="1"/>
  </r>
  <r>
    <s v="P21"/>
    <s v="Product 21"/>
    <x v="1"/>
    <x v="0"/>
  </r>
  <r>
    <s v="P22"/>
    <s v="Product 22"/>
    <x v="4"/>
    <x v="1"/>
  </r>
  <r>
    <s v="P23"/>
    <s v="Product 23"/>
    <x v="3"/>
    <x v="1"/>
  </r>
  <r>
    <s v="P24"/>
    <s v="Product 24"/>
    <x v="3"/>
    <x v="2"/>
  </r>
  <r>
    <s v="P25"/>
    <s v="Product 25"/>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B61F78-719A-460E-9203-B39D8A9E43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8">
    <pivotField showAll="0"/>
    <pivotField axis="axisRow" numFmtId="164" showAll="0">
      <items count="25">
        <item x="7"/>
        <item x="21"/>
        <item x="11"/>
        <item x="19"/>
        <item x="5"/>
        <item x="22"/>
        <item x="4"/>
        <item x="1"/>
        <item x="15"/>
        <item x="20"/>
        <item x="9"/>
        <item x="8"/>
        <item x="10"/>
        <item x="17"/>
        <item x="12"/>
        <item x="16"/>
        <item x="3"/>
        <item x="6"/>
        <item x="23"/>
        <item x="13"/>
        <item x="0"/>
        <item x="18"/>
        <item x="2"/>
        <item x="14"/>
        <item t="default"/>
      </items>
    </pivotField>
    <pivotField showAll="0"/>
    <pivotField showAll="0">
      <items count="17">
        <item x="14"/>
        <item x="9"/>
        <item x="15"/>
        <item x="4"/>
        <item x="13"/>
        <item x="6"/>
        <item x="3"/>
        <item x="11"/>
        <item x="5"/>
        <item x="2"/>
        <item x="7"/>
        <item x="10"/>
        <item x="0"/>
        <item x="12"/>
        <item x="1"/>
        <item x="8"/>
        <item t="default"/>
      </items>
    </pivotField>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1"/>
  </rowFields>
  <rowItems count="7">
    <i>
      <x v="1"/>
    </i>
    <i>
      <x v="2"/>
    </i>
    <i>
      <x v="3"/>
    </i>
    <i>
      <x v="4"/>
    </i>
    <i>
      <x v="5"/>
    </i>
    <i>
      <x v="6"/>
    </i>
    <i t="grand">
      <x/>
    </i>
  </rowItems>
  <colItems count="1">
    <i/>
  </colItems>
  <dataFields count="1">
    <dataField name="Sum of SalesAmount" fld="5" baseField="0" baseItem="0"/>
  </dataField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964BF2-FA8A-458F-91A5-866388F58C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8">
    <pivotField showAll="0"/>
    <pivotField numFmtId="164" showAll="0">
      <items count="25">
        <item x="7"/>
        <item x="21"/>
        <item x="11"/>
        <item x="19"/>
        <item x="5"/>
        <item x="22"/>
        <item x="4"/>
        <item x="1"/>
        <item x="15"/>
        <item x="20"/>
        <item x="9"/>
        <item x="8"/>
        <item x="10"/>
        <item x="17"/>
        <item x="12"/>
        <item x="16"/>
        <item x="3"/>
        <item x="6"/>
        <item x="23"/>
        <item x="13"/>
        <item x="0"/>
        <item x="18"/>
        <item x="2"/>
        <item x="14"/>
        <item t="default"/>
      </items>
    </pivotField>
    <pivotField axis="axisRow" showAll="0">
      <items count="8">
        <item x="1"/>
        <item x="5"/>
        <item x="4"/>
        <item x="0"/>
        <item x="3"/>
        <item x="6"/>
        <item x="2"/>
        <item t="default"/>
      </items>
    </pivotField>
    <pivotField showAll="0"/>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Items count="1">
    <i/>
  </colItems>
  <dataFields count="1">
    <dataField name="Sum of SalesAmount"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D36F29-90D0-4528-9DA8-BAF5D22A4E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8">
    <pivotField showAll="0"/>
    <pivotField numFmtId="164" showAll="0">
      <items count="25">
        <item x="7"/>
        <item x="21"/>
        <item x="11"/>
        <item x="19"/>
        <item x="5"/>
        <item x="22"/>
        <item x="4"/>
        <item x="1"/>
        <item x="15"/>
        <item x="20"/>
        <item x="9"/>
        <item x="8"/>
        <item x="10"/>
        <item x="17"/>
        <item x="12"/>
        <item x="16"/>
        <item x="3"/>
        <item x="6"/>
        <item x="23"/>
        <item x="13"/>
        <item x="0"/>
        <item x="18"/>
        <item x="2"/>
        <item x="14"/>
        <item t="default"/>
      </items>
    </pivotField>
    <pivotField showAll="0"/>
    <pivotField axis="axisRow" showAll="0" measureFilter="1" sortType="descending">
      <items count="17">
        <item x="8"/>
        <item x="1"/>
        <item x="12"/>
        <item x="0"/>
        <item x="10"/>
        <item x="7"/>
        <item x="2"/>
        <item x="5"/>
        <item x="11"/>
        <item x="3"/>
        <item x="6"/>
        <item x="13"/>
        <item x="4"/>
        <item x="15"/>
        <item x="9"/>
        <item x="14"/>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4"/>
    </i>
    <i>
      <x v="6"/>
    </i>
    <i>
      <x v="7"/>
    </i>
    <i>
      <x v="10"/>
    </i>
    <i t="grand">
      <x/>
    </i>
  </rowItems>
  <colItems count="1">
    <i/>
  </colItems>
  <dataFields count="1">
    <dataField name="Sum of SalesAmount" fld="5"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 chart="0" format="3">
      <pivotArea type="data" outline="0" fieldPosition="0">
        <references count="2">
          <reference field="4294967294" count="1" selected="0">
            <x v="0"/>
          </reference>
          <reference field="3" count="1" selected="0">
            <x v="6"/>
          </reference>
        </references>
      </pivotArea>
    </chartFormat>
    <chartFormat chart="0" format="4">
      <pivotArea type="data" outline="0" fieldPosition="0">
        <references count="2">
          <reference field="4294967294" count="1" selected="0">
            <x v="0"/>
          </reference>
          <reference field="3" count="1" selected="0">
            <x v="7"/>
          </reference>
        </references>
      </pivotArea>
    </chartFormat>
    <chartFormat chart="0" format="5">
      <pivotArea type="data" outline="0" fieldPosition="0">
        <references count="2">
          <reference field="4294967294" count="1" selected="0">
            <x v="0"/>
          </reference>
          <reference field="3" count="1" selected="0">
            <x v="1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4"/>
          </reference>
        </references>
      </pivotArea>
    </chartFormat>
    <chartFormat chart="4" format="15">
      <pivotArea type="data" outline="0" fieldPosition="0">
        <references count="2">
          <reference field="4294967294" count="1" selected="0">
            <x v="0"/>
          </reference>
          <reference field="3" count="1" selected="0">
            <x v="6"/>
          </reference>
        </references>
      </pivotArea>
    </chartFormat>
    <chartFormat chart="4" format="16">
      <pivotArea type="data" outline="0" fieldPosition="0">
        <references count="2">
          <reference field="4294967294" count="1" selected="0">
            <x v="0"/>
          </reference>
          <reference field="3" count="1" selected="0">
            <x v="7"/>
          </reference>
        </references>
      </pivotArea>
    </chartFormat>
    <chartFormat chart="4" format="17">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464C3F-681E-4D6B-B368-9DFC905DAA1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G10" firstHeaderRow="1" firstDataRow="2" firstDataCol="1"/>
  <pivotFields count="4">
    <pivotField showAll="0"/>
    <pivotField showAll="0"/>
    <pivotField axis="axisCol" showAll="0">
      <items count="6">
        <item x="1"/>
        <item x="4"/>
        <item x="0"/>
        <item x="2"/>
        <item x="3"/>
        <item t="default"/>
      </items>
    </pivotField>
    <pivotField axis="axisRow" dataField="1" showAll="0">
      <items count="6">
        <item x="4"/>
        <item x="2"/>
        <item x="0"/>
        <item x="1"/>
        <item x="3"/>
        <item t="default"/>
      </items>
    </pivotField>
  </pivotFields>
  <rowFields count="1">
    <field x="3"/>
  </rowFields>
  <rowItems count="6">
    <i>
      <x/>
    </i>
    <i>
      <x v="1"/>
    </i>
    <i>
      <x v="2"/>
    </i>
    <i>
      <x v="3"/>
    </i>
    <i>
      <x v="4"/>
    </i>
    <i t="grand">
      <x/>
    </i>
  </rowItems>
  <colFields count="1">
    <field x="2"/>
  </colFields>
  <colItems count="6">
    <i>
      <x/>
    </i>
    <i>
      <x v="1"/>
    </i>
    <i>
      <x v="2"/>
    </i>
    <i>
      <x v="3"/>
    </i>
    <i>
      <x v="4"/>
    </i>
    <i t="grand">
      <x/>
    </i>
  </colItems>
  <dataFields count="1">
    <dataField name="Count of Region" fld="3" subtotal="count" baseField="0" baseItem="0"/>
  </dataFields>
  <chartFormats count="2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3" format="4" series="1">
      <pivotArea type="data" outline="0" fieldPosition="0">
        <references count="2">
          <reference field="4294967294" count="1" selected="0">
            <x v="0"/>
          </reference>
          <reference field="3" count="1" selected="0">
            <x v="4"/>
          </reference>
        </references>
      </pivotArea>
    </chartFormat>
    <chartFormat chart="3" format="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3" format="11" series="1">
      <pivotArea type="data" outline="0" fieldPosition="0">
        <references count="2">
          <reference field="4294967294" count="1" selected="0">
            <x v="0"/>
          </reference>
          <reference field="2" count="1" selected="0">
            <x v="2"/>
          </reference>
        </references>
      </pivotArea>
    </chartFormat>
    <chartFormat chart="3" format="12" series="1">
      <pivotArea type="data" outline="0" fieldPosition="0">
        <references count="2">
          <reference field="4294967294" count="1" selected="0">
            <x v="0"/>
          </reference>
          <reference field="2" count="1" selected="0">
            <x v="3"/>
          </reference>
        </references>
      </pivotArea>
    </chartFormat>
    <chartFormat chart="3" format="13" series="1">
      <pivotArea type="data" outline="0" fieldPosition="0">
        <references count="2">
          <reference field="4294967294" count="1" selected="0">
            <x v="0"/>
          </reference>
          <reference field="2" count="1" selected="0">
            <x v="4"/>
          </reference>
        </references>
      </pivotArea>
    </chartFormat>
    <chartFormat chart="0" format="12" series="1">
      <pivotArea type="data" outline="0" fieldPosition="0">
        <references count="2">
          <reference field="4294967294" count="1" selected="0">
            <x v="0"/>
          </reference>
          <reference field="2" count="1" selected="0">
            <x v="2"/>
          </reference>
        </references>
      </pivotArea>
    </chartFormat>
    <chartFormat chart="0" format="13" series="1">
      <pivotArea type="data" outline="0" fieldPosition="0">
        <references count="2">
          <reference field="4294967294" count="1" selected="0">
            <x v="0"/>
          </reference>
          <reference field="2" count="1" selected="0">
            <x v="3"/>
          </reference>
        </references>
      </pivotArea>
    </chartFormat>
    <chartFormat chart="0" format="14" series="1">
      <pivotArea type="data" outline="0" fieldPosition="0">
        <references count="2">
          <reference field="4294967294" count="1" selected="0">
            <x v="0"/>
          </reference>
          <reference field="2" count="1" selected="0">
            <x v="4"/>
          </reference>
        </references>
      </pivotArea>
    </chartFormat>
    <chartFormat chart="6" format="19" series="1">
      <pivotArea type="data" outline="0" fieldPosition="0">
        <references count="2">
          <reference field="4294967294" count="1" selected="0">
            <x v="0"/>
          </reference>
          <reference field="2" count="1" selected="0">
            <x v="0"/>
          </reference>
        </references>
      </pivotArea>
    </chartFormat>
    <chartFormat chart="6" format="20" series="1">
      <pivotArea type="data" outline="0" fieldPosition="0">
        <references count="2">
          <reference field="4294967294" count="1" selected="0">
            <x v="0"/>
          </reference>
          <reference field="2" count="1" selected="0">
            <x v="1"/>
          </reference>
        </references>
      </pivotArea>
    </chartFormat>
    <chartFormat chart="6" format="21" series="1">
      <pivotArea type="data" outline="0" fieldPosition="0">
        <references count="2">
          <reference field="4294967294" count="1" selected="0">
            <x v="0"/>
          </reference>
          <reference field="2" count="1" selected="0">
            <x v="2"/>
          </reference>
        </references>
      </pivotArea>
    </chartFormat>
    <chartFormat chart="6" format="22" series="1">
      <pivotArea type="data" outline="0" fieldPosition="0">
        <references count="2">
          <reference field="4294967294" count="1" selected="0">
            <x v="0"/>
          </reference>
          <reference field="2" count="1" selected="0">
            <x v="3"/>
          </reference>
        </references>
      </pivotArea>
    </chartFormat>
    <chartFormat chart="6" format="23"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F22E1EAE-1864-4CEB-A18D-58C7368260CE}" sourceName="OrderDate">
  <pivotTables>
    <pivotTable tabId="4" name="PivotTable1"/>
  </pivotTables>
  <data>
    <tabular pivotCacheId="727041438">
      <items count="24">
        <i x="7" s="1"/>
        <i x="21" s="1"/>
        <i x="11" s="1"/>
        <i x="19" s="1"/>
        <i x="5" s="1"/>
        <i x="22" s="1"/>
        <i x="4" s="1"/>
        <i x="1" s="1"/>
        <i x="15" s="1"/>
        <i x="20" s="1"/>
        <i x="9" s="1"/>
        <i x="8" s="1"/>
        <i x="10" s="1"/>
        <i x="17" s="1"/>
        <i x="12" s="1"/>
        <i x="16" s="1"/>
        <i x="3" s="1"/>
        <i x="6" s="1"/>
        <i x="23" s="1"/>
        <i x="13" s="1"/>
        <i x="0" s="1"/>
        <i x="18" s="1"/>
        <i x="2"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D" xr10:uid="{7EF6BD4E-073C-4752-883A-A27D517698BF}" sourceName="ProductID">
  <pivotTables>
    <pivotTable tabId="4" name="PivotTable1"/>
  </pivotTables>
  <data>
    <tabular pivotCacheId="727041438">
      <items count="16">
        <i x="14" s="1"/>
        <i x="9" s="1"/>
        <i x="15" s="1"/>
        <i x="4" s="1"/>
        <i x="13" s="1"/>
        <i x="6" s="1"/>
        <i x="3" s="1"/>
        <i x="11" s="1"/>
        <i x="5" s="1"/>
        <i x="2" s="1"/>
        <i x="7" s="1"/>
        <i x="10" s="1"/>
        <i x="0" s="1"/>
        <i x="12" s="1"/>
        <i x="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ID" xr10:uid="{067C27B8-D915-49E4-B6C0-E95FCC2C301A}" sourceName="RegionID">
  <extLst>
    <x:ext xmlns:x15="http://schemas.microsoft.com/office/spreadsheetml/2010/11/main" uri="{2F2917AC-EB37-4324-AD4E-5DD8C200BD13}">
      <x15:tableSlicerCache tableId="4"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Name" xr10:uid="{D18C1A5D-6B05-44ED-9F15-A0F48DF23F23}" sourceName="RegionName">
  <extLst>
    <x:ext xmlns:x15="http://schemas.microsoft.com/office/spreadsheetml/2010/11/main" uri="{2F2917AC-EB37-4324-AD4E-5DD8C200BD13}">
      <x15:tableSlicerCache tableId="4"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xr10:uid="{5FC7FD52-FF0D-40ED-BA79-74929BDA5B8A}" cache="Slicer_OrderDate" caption="OrderDate" rowHeight="234950"/>
  <slicer name="ProductID" xr10:uid="{3DF20439-746C-4D94-9A23-02CCA41F2B08}" cache="Slicer_ProductID" caption="ProductI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1" xr10:uid="{2FAEDEDD-469C-4CDE-93C6-FCFA9BAAA6FD}" cache="Slicer_OrderDate" caption="OrderDate" rowHeight="234950"/>
  <slicer name="ProductID 1" xr10:uid="{3713F7DD-7C01-49A6-88F7-EE65ED96EE43}" cache="Slicer_ProductID" caption="ProductI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ID 1" xr10:uid="{B36F8D84-2C46-4C6B-8738-84C14ACDF00D}" cache="Slicer_RegionID" caption="RegionID" rowHeight="234950"/>
  <slicer name="RegionName 1" xr10:uid="{53BA2F2D-A96F-40EB-B663-6E8B7492872F}" cache="Slicer_RegionName" caption="RegionNam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ID" xr10:uid="{59636B3C-6E4C-4DC3-8FEB-CF83EBFC9DB7}" cache="Slicer_RegionID" caption="RegionID" rowHeight="234950"/>
  <slicer name="RegionName" xr10:uid="{88BEE46F-F722-4A63-9185-7D05CE1600FF}" cache="Slicer_RegionName" caption="Region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BFD213-89E5-4F8D-A28E-91B77729481F}" name="Table1" displayName="Table1" ref="A1:G27" totalsRowCount="1" headerRowDxfId="12" headerRowBorderDxfId="11" tableBorderDxfId="10">
  <autoFilter ref="A1:G26" xr:uid="{DCBFD213-89E5-4F8D-A28E-91B77729481F}"/>
  <sortState xmlns:xlrd2="http://schemas.microsoft.com/office/spreadsheetml/2017/richdata2" ref="A2:G26">
    <sortCondition descending="1" ref="G1:G26"/>
  </sortState>
  <tableColumns count="7">
    <tableColumn id="1" xr3:uid="{E29B43AC-F0D5-455C-AC98-9EDB5F73B369}" name="OrderID" totalsRowFunction="custom">
      <totalsRowFormula>COUNT(Table1[OrderID])</totalsRowFormula>
    </tableColumn>
    <tableColumn id="2" xr3:uid="{C26F216F-7126-4AA3-A34F-FFA0F2E74003}" name="OrderDate" dataDxfId="9" totalsRowDxfId="8"/>
    <tableColumn id="3" xr3:uid="{E79A27A6-E1EF-4104-B90D-C8E984CD4AC5}" name="Weekday" dataDxfId="7" totalsRowDxfId="6">
      <calculatedColumnFormula>TEXT(B2,"dddd")</calculatedColumnFormula>
    </tableColumn>
    <tableColumn id="4" xr3:uid="{DA7D5BEA-1C74-46E8-8DF9-8D3DCEFDCD4F}" name="Region ID"/>
    <tableColumn id="5" xr3:uid="{8F92DF04-4A24-4A7F-B35D-1A68F99E72EC}" name="ProductID"/>
    <tableColumn id="6" xr3:uid="{AA25887A-2062-41C4-9E5E-25E101EDBB25}" name="Quantity" totalsRowFunction="custom">
      <totalsRowFormula>SUM(Table1[Quantity])</totalsRowFormula>
    </tableColumn>
    <tableColumn id="7" xr3:uid="{1D90FC18-7087-4A1D-B52D-7600E49F1BCF}" name="SalesAmount" totalsRowFunction="custom">
      <totalsRowFormula>SUM(Table1[SalesAmount])</totalsRow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A2F733-9B7A-4131-9EC5-98B5B0CFD9F7}" name="Table3" displayName="Table3" ref="A1:D26" totalsRowShown="0" headerRowDxfId="5" headerRowBorderDxfId="4" tableBorderDxfId="3">
  <autoFilter ref="A1:D26" xr:uid="{5FA2F733-9B7A-4131-9EC5-98B5B0CFD9F7}"/>
  <tableColumns count="4">
    <tableColumn id="1" xr3:uid="{D74EDF98-BB56-4386-8E46-A22A41DA3B95}" name="ProductID"/>
    <tableColumn id="2" xr3:uid="{CE0F0E90-05CA-4C8B-8B07-D381D4758F87}" name="ProductName"/>
    <tableColumn id="3" xr3:uid="{D2D3FCA4-D022-411E-91F9-FBDC467B5CE0}" name="Category"/>
    <tableColumn id="4" xr3:uid="{134EF8F1-0FB6-4F4C-A492-C56F854A3296}" name="Regio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FEC530-77DC-4004-97EA-EF53B814F96E}" name="Table4" displayName="Table4" ref="A1:B6" totalsRowShown="0" headerRowDxfId="2" headerRowBorderDxfId="1" tableBorderDxfId="0">
  <autoFilter ref="A1:B6" xr:uid="{4CFEC530-77DC-4004-97EA-EF53B814F96E}"/>
  <tableColumns count="2">
    <tableColumn id="1" xr3:uid="{B0C50818-F180-45AB-A25F-187740B58CE0}" name="RegionID"/>
    <tableColumn id="2" xr3:uid="{B053DB18-4DB5-41C3-8469-EA62D0BAEEF9}" name="RegionNam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225B-A4CE-43E9-AA45-C04194E9AE1C}">
  <dimension ref="A3:B10"/>
  <sheetViews>
    <sheetView workbookViewId="0">
      <selection activeCell="B21" sqref="B21"/>
    </sheetView>
  </sheetViews>
  <sheetFormatPr defaultRowHeight="14.4" x14ac:dyDescent="0.3"/>
  <cols>
    <col min="1" max="1" width="12.5546875" bestFit="1" customWidth="1"/>
    <col min="2" max="2" width="18.77734375" bestFit="1" customWidth="1"/>
  </cols>
  <sheetData>
    <row r="3" spans="1:2" x14ac:dyDescent="0.3">
      <c r="A3" s="2" t="s">
        <v>69</v>
      </c>
      <c r="B3" t="s">
        <v>77</v>
      </c>
    </row>
    <row r="4" spans="1:2" x14ac:dyDescent="0.3">
      <c r="A4" s="3" t="s">
        <v>71</v>
      </c>
      <c r="B4">
        <v>4616.29</v>
      </c>
    </row>
    <row r="5" spans="1:2" x14ac:dyDescent="0.3">
      <c r="A5" s="3" t="s">
        <v>72</v>
      </c>
      <c r="B5">
        <v>4136.6799999999994</v>
      </c>
    </row>
    <row r="6" spans="1:2" x14ac:dyDescent="0.3">
      <c r="A6" s="3" t="s">
        <v>73</v>
      </c>
      <c r="B6">
        <v>3939.5800000000004</v>
      </c>
    </row>
    <row r="7" spans="1:2" x14ac:dyDescent="0.3">
      <c r="A7" s="3" t="s">
        <v>74</v>
      </c>
      <c r="B7">
        <v>10778.22</v>
      </c>
    </row>
    <row r="8" spans="1:2" x14ac:dyDescent="0.3">
      <c r="A8" s="3" t="s">
        <v>75</v>
      </c>
      <c r="B8">
        <v>914.34</v>
      </c>
    </row>
    <row r="9" spans="1:2" x14ac:dyDescent="0.3">
      <c r="A9" s="3" t="s">
        <v>76</v>
      </c>
      <c r="B9">
        <v>4040.4399999999996</v>
      </c>
    </row>
    <row r="10" spans="1:2" x14ac:dyDescent="0.3">
      <c r="A10" s="3" t="s">
        <v>70</v>
      </c>
      <c r="B10">
        <v>28425.549999999996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4B4ED-69E7-44A2-B690-CE206B99FB5F}">
  <dimension ref="A1:I20"/>
  <sheetViews>
    <sheetView workbookViewId="0">
      <selection activeCell="M10" sqref="M10"/>
    </sheetView>
  </sheetViews>
  <sheetFormatPr defaultRowHeight="14.4" x14ac:dyDescent="0.3"/>
  <sheetData>
    <row r="1" spans="1:1" x14ac:dyDescent="0.3">
      <c r="A1" t="s">
        <v>101</v>
      </c>
    </row>
    <row r="2" spans="1:1" x14ac:dyDescent="0.3">
      <c r="A2" t="s">
        <v>102</v>
      </c>
    </row>
    <row r="3" spans="1:1" x14ac:dyDescent="0.3">
      <c r="A3" t="s">
        <v>103</v>
      </c>
    </row>
    <row r="4" spans="1:1" x14ac:dyDescent="0.3">
      <c r="A4" t="s">
        <v>104</v>
      </c>
    </row>
    <row r="5" spans="1:1" x14ac:dyDescent="0.3">
      <c r="A5" t="s">
        <v>105</v>
      </c>
    </row>
    <row r="6" spans="1:1" x14ac:dyDescent="0.3">
      <c r="A6" t="s">
        <v>106</v>
      </c>
    </row>
    <row r="7" spans="1:1" x14ac:dyDescent="0.3">
      <c r="A7" t="s">
        <v>107</v>
      </c>
    </row>
    <row r="8" spans="1:1" x14ac:dyDescent="0.3">
      <c r="A8" t="s">
        <v>108</v>
      </c>
    </row>
    <row r="9" spans="1:1" x14ac:dyDescent="0.3">
      <c r="A9" t="s">
        <v>109</v>
      </c>
    </row>
    <row r="10" spans="1:1" x14ac:dyDescent="0.3">
      <c r="A10" t="s">
        <v>110</v>
      </c>
    </row>
    <row r="11" spans="1:1" x14ac:dyDescent="0.3">
      <c r="A11" t="s">
        <v>111</v>
      </c>
    </row>
    <row r="12" spans="1:1" x14ac:dyDescent="0.3">
      <c r="A12" t="s">
        <v>112</v>
      </c>
    </row>
    <row r="13" spans="1:1" x14ac:dyDescent="0.3">
      <c r="A13" t="s">
        <v>113</v>
      </c>
    </row>
    <row r="14" spans="1:1" x14ac:dyDescent="0.3">
      <c r="A14" t="s">
        <v>114</v>
      </c>
    </row>
    <row r="15" spans="1:1" x14ac:dyDescent="0.3">
      <c r="A15" t="s">
        <v>115</v>
      </c>
    </row>
    <row r="16" spans="1:1" x14ac:dyDescent="0.3">
      <c r="A16" t="s">
        <v>116</v>
      </c>
    </row>
    <row r="18" spans="1:9" x14ac:dyDescent="0.3">
      <c r="A18" t="s">
        <v>118</v>
      </c>
    </row>
    <row r="19" spans="1:9" x14ac:dyDescent="0.3">
      <c r="A19" s="10" t="s">
        <v>117</v>
      </c>
      <c r="B19" s="10"/>
      <c r="C19" s="10"/>
      <c r="D19" s="10"/>
      <c r="E19" s="10"/>
      <c r="F19" s="10"/>
      <c r="G19" s="10"/>
      <c r="H19" s="10"/>
      <c r="I19" s="10"/>
    </row>
    <row r="20" spans="1:9" ht="40.200000000000003" customHeight="1" x14ac:dyDescent="0.3">
      <c r="A20" s="10"/>
      <c r="B20" s="10"/>
      <c r="C20" s="10"/>
      <c r="D20" s="10"/>
      <c r="E20" s="10"/>
      <c r="F20" s="10"/>
      <c r="G20" s="10"/>
      <c r="H20" s="10"/>
      <c r="I20" s="10"/>
    </row>
  </sheetData>
  <mergeCells count="1">
    <mergeCell ref="A19:I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B4B0B-9267-4B5A-8927-176D3121CB9F}">
  <dimension ref="A3:B11"/>
  <sheetViews>
    <sheetView workbookViewId="0">
      <selection activeCell="B23" sqref="B23"/>
    </sheetView>
  </sheetViews>
  <sheetFormatPr defaultRowHeight="14.4" x14ac:dyDescent="0.3"/>
  <cols>
    <col min="1" max="1" width="12.5546875" bestFit="1" customWidth="1"/>
    <col min="2" max="2" width="18.77734375" bestFit="1" customWidth="1"/>
  </cols>
  <sheetData>
    <row r="3" spans="1:2" x14ac:dyDescent="0.3">
      <c r="A3" s="2" t="s">
        <v>69</v>
      </c>
      <c r="B3" t="s">
        <v>77</v>
      </c>
    </row>
    <row r="4" spans="1:2" x14ac:dyDescent="0.3">
      <c r="A4" s="3" t="s">
        <v>83</v>
      </c>
      <c r="B4">
        <v>7184.0599999999995</v>
      </c>
    </row>
    <row r="5" spans="1:2" x14ac:dyDescent="0.3">
      <c r="A5" s="3" t="s">
        <v>85</v>
      </c>
      <c r="B5">
        <v>1690.34</v>
      </c>
    </row>
    <row r="6" spans="1:2" x14ac:dyDescent="0.3">
      <c r="A6" s="3" t="s">
        <v>79</v>
      </c>
      <c r="B6">
        <v>5843.39</v>
      </c>
    </row>
    <row r="7" spans="1:2" x14ac:dyDescent="0.3">
      <c r="A7" s="3" t="s">
        <v>84</v>
      </c>
      <c r="B7">
        <v>4156.08</v>
      </c>
    </row>
    <row r="8" spans="1:2" x14ac:dyDescent="0.3">
      <c r="A8" s="3" t="s">
        <v>82</v>
      </c>
      <c r="B8">
        <v>1800.46</v>
      </c>
    </row>
    <row r="9" spans="1:2" x14ac:dyDescent="0.3">
      <c r="A9" s="3" t="s">
        <v>80</v>
      </c>
      <c r="B9">
        <v>4090.09</v>
      </c>
    </row>
    <row r="10" spans="1:2" x14ac:dyDescent="0.3">
      <c r="A10" s="3" t="s">
        <v>81</v>
      </c>
      <c r="B10">
        <v>3661.13</v>
      </c>
    </row>
    <row r="11" spans="1:2" x14ac:dyDescent="0.3">
      <c r="A11" s="3" t="s">
        <v>70</v>
      </c>
      <c r="B11">
        <v>28425.550000000003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27595-1126-48E6-907D-5A1EED183285}">
  <dimension ref="A3:B9"/>
  <sheetViews>
    <sheetView workbookViewId="0">
      <selection activeCell="E23" sqref="E23"/>
    </sheetView>
  </sheetViews>
  <sheetFormatPr defaultRowHeight="14.4" x14ac:dyDescent="0.3"/>
  <cols>
    <col min="1" max="1" width="12.5546875" bestFit="1" customWidth="1"/>
    <col min="2" max="2" width="18.77734375" bestFit="1" customWidth="1"/>
  </cols>
  <sheetData>
    <row r="3" spans="1:2" x14ac:dyDescent="0.3">
      <c r="A3" s="2" t="s">
        <v>69</v>
      </c>
      <c r="B3" t="s">
        <v>77</v>
      </c>
    </row>
    <row r="4" spans="1:2" x14ac:dyDescent="0.3">
      <c r="A4" s="3" t="s">
        <v>52</v>
      </c>
      <c r="B4">
        <v>5116.7900000000009</v>
      </c>
    </row>
    <row r="5" spans="1:2" x14ac:dyDescent="0.3">
      <c r="A5" s="3" t="s">
        <v>46</v>
      </c>
      <c r="B5">
        <v>3744.6099999999997</v>
      </c>
    </row>
    <row r="6" spans="1:2" x14ac:dyDescent="0.3">
      <c r="A6" s="3" t="s">
        <v>67</v>
      </c>
      <c r="B6">
        <v>3132.52</v>
      </c>
    </row>
    <row r="7" spans="1:2" x14ac:dyDescent="0.3">
      <c r="A7" s="3" t="s">
        <v>66</v>
      </c>
      <c r="B7">
        <v>2149.06</v>
      </c>
    </row>
    <row r="8" spans="1:2" x14ac:dyDescent="0.3">
      <c r="A8" s="3" t="s">
        <v>62</v>
      </c>
      <c r="B8">
        <v>2945.31</v>
      </c>
    </row>
    <row r="9" spans="1:2" x14ac:dyDescent="0.3">
      <c r="A9" s="3" t="s">
        <v>70</v>
      </c>
      <c r="B9">
        <v>17088.29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workbookViewId="0">
      <selection activeCell="H2" sqref="H2"/>
    </sheetView>
  </sheetViews>
  <sheetFormatPr defaultRowHeight="14.4" x14ac:dyDescent="0.3"/>
  <cols>
    <col min="1" max="1" width="9.44140625" customWidth="1"/>
    <col min="2" max="4" width="13.33203125" customWidth="1"/>
    <col min="5" max="5" width="11.33203125" customWidth="1"/>
    <col min="6" max="6" width="10.21875" customWidth="1"/>
    <col min="7" max="7" width="14" customWidth="1"/>
    <col min="10" max="10" width="22.109375" customWidth="1"/>
  </cols>
  <sheetData>
    <row r="1" spans="1:11" x14ac:dyDescent="0.3">
      <c r="A1" s="4" t="s">
        <v>0</v>
      </c>
      <c r="B1" s="4" t="s">
        <v>1</v>
      </c>
      <c r="C1" s="4" t="s">
        <v>78</v>
      </c>
      <c r="D1" s="4" t="s">
        <v>86</v>
      </c>
      <c r="E1" s="4" t="s">
        <v>2</v>
      </c>
      <c r="F1" s="4" t="s">
        <v>3</v>
      </c>
      <c r="G1" s="4" t="s">
        <v>4</v>
      </c>
    </row>
    <row r="2" spans="1:11" x14ac:dyDescent="0.3">
      <c r="A2">
        <v>1017</v>
      </c>
      <c r="B2" s="1">
        <v>45389</v>
      </c>
      <c r="C2" s="1" t="str">
        <f t="shared" ref="C2:C26" si="0">TEXT(B2,"dddd")</f>
        <v>Sunday</v>
      </c>
      <c r="D2" t="s">
        <v>91</v>
      </c>
      <c r="E2" t="s">
        <v>52</v>
      </c>
      <c r="F2">
        <v>8</v>
      </c>
      <c r="G2">
        <v>2688.46</v>
      </c>
    </row>
    <row r="3" spans="1:11" x14ac:dyDescent="0.3">
      <c r="A3">
        <v>1012</v>
      </c>
      <c r="B3" s="1">
        <v>45303</v>
      </c>
      <c r="C3" s="1" t="str">
        <f t="shared" si="0"/>
        <v>Friday</v>
      </c>
      <c r="D3" t="s">
        <v>88</v>
      </c>
      <c r="E3" t="s">
        <v>67</v>
      </c>
      <c r="F3">
        <v>8</v>
      </c>
      <c r="G3">
        <v>2330.42</v>
      </c>
    </row>
    <row r="4" spans="1:11" x14ac:dyDescent="0.3">
      <c r="A4">
        <v>1006</v>
      </c>
      <c r="B4" s="1">
        <v>45342</v>
      </c>
      <c r="C4" s="1" t="str">
        <f t="shared" si="0"/>
        <v>Tuesday</v>
      </c>
      <c r="D4" t="s">
        <v>87</v>
      </c>
      <c r="E4" t="s">
        <v>66</v>
      </c>
      <c r="F4">
        <v>9</v>
      </c>
      <c r="G4">
        <v>2149.06</v>
      </c>
      <c r="J4" s="6" t="s">
        <v>92</v>
      </c>
      <c r="K4" s="6">
        <v>25</v>
      </c>
    </row>
    <row r="5" spans="1:11" x14ac:dyDescent="0.3">
      <c r="A5">
        <v>1007</v>
      </c>
      <c r="B5" s="1">
        <v>45406</v>
      </c>
      <c r="C5" s="1" t="str">
        <f t="shared" si="0"/>
        <v>Wednesday</v>
      </c>
      <c r="D5" t="s">
        <v>88</v>
      </c>
      <c r="E5" t="s">
        <v>62</v>
      </c>
      <c r="F5">
        <v>5</v>
      </c>
      <c r="G5">
        <v>2071.2199999999998</v>
      </c>
      <c r="J5" s="6" t="s">
        <v>93</v>
      </c>
      <c r="K5" s="6">
        <v>135</v>
      </c>
    </row>
    <row r="6" spans="1:11" x14ac:dyDescent="0.3">
      <c r="A6">
        <v>1014</v>
      </c>
      <c r="B6" s="1">
        <v>45452</v>
      </c>
      <c r="C6" s="1" t="str">
        <f t="shared" si="0"/>
        <v>Sunday</v>
      </c>
      <c r="D6" t="s">
        <v>88</v>
      </c>
      <c r="E6" t="s">
        <v>63</v>
      </c>
      <c r="F6">
        <v>6</v>
      </c>
      <c r="G6">
        <v>1858.85</v>
      </c>
      <c r="J6" s="6" t="s">
        <v>94</v>
      </c>
      <c r="K6" s="6" t="s">
        <v>19</v>
      </c>
    </row>
    <row r="7" spans="1:11" x14ac:dyDescent="0.3">
      <c r="A7">
        <v>1016</v>
      </c>
      <c r="B7" s="1">
        <v>45366</v>
      </c>
      <c r="C7" s="1" t="str">
        <f t="shared" si="0"/>
        <v>Friday</v>
      </c>
      <c r="D7" t="s">
        <v>90</v>
      </c>
      <c r="E7" t="s">
        <v>46</v>
      </c>
      <c r="F7">
        <v>4</v>
      </c>
      <c r="G7">
        <v>1759.67</v>
      </c>
      <c r="J7" s="6" t="s">
        <v>95</v>
      </c>
      <c r="K7" s="6" t="s">
        <v>97</v>
      </c>
    </row>
    <row r="8" spans="1:11" x14ac:dyDescent="0.3">
      <c r="A8">
        <v>1011</v>
      </c>
      <c r="B8" s="1">
        <v>45383</v>
      </c>
      <c r="C8" s="1" t="str">
        <f t="shared" si="0"/>
        <v>Monday</v>
      </c>
      <c r="D8" t="s">
        <v>87</v>
      </c>
      <c r="E8" t="s">
        <v>55</v>
      </c>
      <c r="F8">
        <v>10</v>
      </c>
      <c r="G8">
        <v>1690.34</v>
      </c>
      <c r="J8" s="6" t="s">
        <v>96</v>
      </c>
      <c r="K8" s="6">
        <v>1137.0219999999999</v>
      </c>
    </row>
    <row r="9" spans="1:11" x14ac:dyDescent="0.3">
      <c r="A9">
        <v>1013</v>
      </c>
      <c r="B9" s="1">
        <v>45388</v>
      </c>
      <c r="C9" s="1" t="str">
        <f t="shared" si="0"/>
        <v>Saturday</v>
      </c>
      <c r="D9" t="s">
        <v>87</v>
      </c>
      <c r="E9" t="s">
        <v>46</v>
      </c>
      <c r="F9">
        <v>9</v>
      </c>
      <c r="G9">
        <v>1637.37</v>
      </c>
    </row>
    <row r="10" spans="1:11" x14ac:dyDescent="0.3">
      <c r="A10">
        <v>1021</v>
      </c>
      <c r="B10" s="1">
        <v>45389</v>
      </c>
      <c r="C10" s="1" t="str">
        <f t="shared" si="0"/>
        <v>Sunday</v>
      </c>
      <c r="D10" t="s">
        <v>90</v>
      </c>
      <c r="E10" t="s">
        <v>52</v>
      </c>
      <c r="F10">
        <v>9</v>
      </c>
      <c r="G10">
        <v>1339.44</v>
      </c>
    </row>
    <row r="11" spans="1:11" x14ac:dyDescent="0.3">
      <c r="A11">
        <v>1018</v>
      </c>
      <c r="B11" s="1">
        <v>45385</v>
      </c>
      <c r="C11" s="1" t="str">
        <f t="shared" si="0"/>
        <v>Wednesday</v>
      </c>
      <c r="D11" t="s">
        <v>87</v>
      </c>
      <c r="E11" t="s">
        <v>49</v>
      </c>
      <c r="F11">
        <v>6</v>
      </c>
      <c r="G11">
        <v>1259.23</v>
      </c>
    </row>
    <row r="12" spans="1:11" x14ac:dyDescent="0.3">
      <c r="A12">
        <v>1023</v>
      </c>
      <c r="B12" s="1">
        <v>45300</v>
      </c>
      <c r="C12" s="1" t="str">
        <f t="shared" si="0"/>
        <v>Tuesday</v>
      </c>
      <c r="D12" t="s">
        <v>88</v>
      </c>
      <c r="E12" t="s">
        <v>54</v>
      </c>
      <c r="F12">
        <v>7</v>
      </c>
      <c r="G12">
        <v>1193.3800000000001</v>
      </c>
    </row>
    <row r="13" spans="1:11" x14ac:dyDescent="0.3">
      <c r="A13">
        <v>1002</v>
      </c>
      <c r="B13" s="1">
        <v>45354</v>
      </c>
      <c r="C13" s="1" t="str">
        <f t="shared" si="0"/>
        <v>Sunday</v>
      </c>
      <c r="D13" t="s">
        <v>88</v>
      </c>
      <c r="E13" t="s">
        <v>51</v>
      </c>
      <c r="F13">
        <v>3</v>
      </c>
      <c r="G13">
        <v>1144.24</v>
      </c>
    </row>
    <row r="14" spans="1:11" x14ac:dyDescent="0.3">
      <c r="A14">
        <v>1008</v>
      </c>
      <c r="B14" s="1">
        <v>45293</v>
      </c>
      <c r="C14" s="1" t="str">
        <f t="shared" si="0"/>
        <v>Tuesday</v>
      </c>
      <c r="D14" t="s">
        <v>89</v>
      </c>
      <c r="E14" t="s">
        <v>68</v>
      </c>
      <c r="F14">
        <v>3</v>
      </c>
      <c r="G14">
        <v>1092.49</v>
      </c>
    </row>
    <row r="15" spans="1:11" x14ac:dyDescent="0.3">
      <c r="A15">
        <v>1025</v>
      </c>
      <c r="B15" s="1">
        <v>45419</v>
      </c>
      <c r="C15" s="1" t="str">
        <f t="shared" si="0"/>
        <v>Tuesday</v>
      </c>
      <c r="D15" t="s">
        <v>90</v>
      </c>
      <c r="E15" t="s">
        <v>56</v>
      </c>
      <c r="F15">
        <v>8</v>
      </c>
      <c r="G15">
        <v>914.34</v>
      </c>
    </row>
    <row r="16" spans="1:11" x14ac:dyDescent="0.3">
      <c r="A16">
        <v>1024</v>
      </c>
      <c r="B16" s="1">
        <v>45346</v>
      </c>
      <c r="C16" s="1" t="str">
        <f t="shared" si="0"/>
        <v>Saturday</v>
      </c>
      <c r="D16" t="s">
        <v>89</v>
      </c>
      <c r="E16" t="s">
        <v>62</v>
      </c>
      <c r="F16">
        <v>6</v>
      </c>
      <c r="G16">
        <v>874.09</v>
      </c>
    </row>
    <row r="17" spans="1:7" x14ac:dyDescent="0.3">
      <c r="A17">
        <v>1003</v>
      </c>
      <c r="B17" s="1">
        <v>45465</v>
      </c>
      <c r="C17" s="1" t="str">
        <f t="shared" si="0"/>
        <v>Saturday</v>
      </c>
      <c r="D17" t="s">
        <v>87</v>
      </c>
      <c r="E17" t="s">
        <v>67</v>
      </c>
      <c r="F17">
        <v>9</v>
      </c>
      <c r="G17">
        <v>802.1</v>
      </c>
    </row>
    <row r="18" spans="1:7" x14ac:dyDescent="0.3">
      <c r="A18">
        <v>1019</v>
      </c>
      <c r="B18" s="1">
        <v>45463</v>
      </c>
      <c r="C18" s="1" t="str">
        <f t="shared" si="0"/>
        <v>Thursday</v>
      </c>
      <c r="D18" t="s">
        <v>88</v>
      </c>
      <c r="E18" t="s">
        <v>52</v>
      </c>
      <c r="F18">
        <v>2</v>
      </c>
      <c r="G18">
        <v>648.22</v>
      </c>
    </row>
    <row r="19" spans="1:7" x14ac:dyDescent="0.3">
      <c r="A19">
        <v>1005</v>
      </c>
      <c r="B19" s="1">
        <v>45351</v>
      </c>
      <c r="C19" s="1" t="str">
        <f t="shared" si="0"/>
        <v>Thursday</v>
      </c>
      <c r="D19" t="s">
        <v>89</v>
      </c>
      <c r="E19" t="s">
        <v>60</v>
      </c>
      <c r="F19">
        <v>10</v>
      </c>
      <c r="G19">
        <v>619.41</v>
      </c>
    </row>
    <row r="20" spans="1:7" x14ac:dyDescent="0.3">
      <c r="A20">
        <v>1020</v>
      </c>
      <c r="B20" s="1">
        <v>45335</v>
      </c>
      <c r="C20" s="1" t="str">
        <f t="shared" si="0"/>
        <v>Tuesday</v>
      </c>
      <c r="D20" t="s">
        <v>89</v>
      </c>
      <c r="E20" t="s">
        <v>61</v>
      </c>
      <c r="F20">
        <v>4</v>
      </c>
      <c r="G20">
        <v>494.12</v>
      </c>
    </row>
    <row r="21" spans="1:7" x14ac:dyDescent="0.3">
      <c r="A21">
        <v>1010</v>
      </c>
      <c r="B21" s="1">
        <v>45378</v>
      </c>
      <c r="C21" s="1" t="str">
        <f t="shared" si="0"/>
        <v>Wednesday</v>
      </c>
      <c r="D21" t="s">
        <v>91</v>
      </c>
      <c r="E21" t="s">
        <v>47</v>
      </c>
      <c r="F21">
        <v>2</v>
      </c>
      <c r="G21">
        <v>441.93</v>
      </c>
    </row>
    <row r="22" spans="1:7" x14ac:dyDescent="0.3">
      <c r="A22">
        <v>1009</v>
      </c>
      <c r="B22" s="1">
        <v>45379</v>
      </c>
      <c r="C22" s="1" t="str">
        <f t="shared" si="0"/>
        <v>Thursday</v>
      </c>
      <c r="D22" t="s">
        <v>90</v>
      </c>
      <c r="E22" t="s">
        <v>52</v>
      </c>
      <c r="F22">
        <v>3</v>
      </c>
      <c r="G22">
        <v>440.67</v>
      </c>
    </row>
    <row r="23" spans="1:7" x14ac:dyDescent="0.3">
      <c r="A23">
        <v>1001</v>
      </c>
      <c r="B23" s="1">
        <v>45455</v>
      </c>
      <c r="C23" s="1" t="str">
        <f t="shared" si="0"/>
        <v>Wednesday</v>
      </c>
      <c r="D23" t="s">
        <v>87</v>
      </c>
      <c r="E23" t="s">
        <v>47</v>
      </c>
      <c r="F23">
        <v>1</v>
      </c>
      <c r="G23">
        <v>383.7</v>
      </c>
    </row>
    <row r="24" spans="1:7" x14ac:dyDescent="0.3">
      <c r="A24">
        <v>1015</v>
      </c>
      <c r="B24" s="1">
        <v>45472</v>
      </c>
      <c r="C24" s="1" t="str">
        <f t="shared" si="0"/>
        <v>Saturday</v>
      </c>
      <c r="D24" t="s">
        <v>89</v>
      </c>
      <c r="E24" t="s">
        <v>46</v>
      </c>
      <c r="F24">
        <v>1</v>
      </c>
      <c r="G24">
        <v>347.57</v>
      </c>
    </row>
    <row r="25" spans="1:7" x14ac:dyDescent="0.3">
      <c r="A25">
        <v>1022</v>
      </c>
      <c r="B25" s="1">
        <v>45375</v>
      </c>
      <c r="C25" s="1" t="str">
        <f t="shared" si="0"/>
        <v>Sunday</v>
      </c>
      <c r="D25" t="s">
        <v>91</v>
      </c>
      <c r="E25" t="s">
        <v>68</v>
      </c>
      <c r="F25">
        <v>1</v>
      </c>
      <c r="G25">
        <v>153.07</v>
      </c>
    </row>
    <row r="26" spans="1:7" x14ac:dyDescent="0.3">
      <c r="A26">
        <v>1004</v>
      </c>
      <c r="B26" s="1">
        <v>45400</v>
      </c>
      <c r="C26" s="1" t="str">
        <f t="shared" si="0"/>
        <v>Thursday</v>
      </c>
      <c r="D26" t="s">
        <v>88</v>
      </c>
      <c r="E26" t="s">
        <v>45</v>
      </c>
      <c r="F26">
        <v>1</v>
      </c>
      <c r="G26">
        <v>92.16</v>
      </c>
    </row>
    <row r="27" spans="1:7" x14ac:dyDescent="0.3">
      <c r="A27">
        <f>COUNT(Table1[OrderID])</f>
        <v>25</v>
      </c>
      <c r="B27" s="1"/>
      <c r="C27" s="1"/>
      <c r="F27">
        <f>SUM(Table1[Quantity])</f>
        <v>135</v>
      </c>
      <c r="G27">
        <f>SUM(Table1[SalesAmount])</f>
        <v>28425.55</v>
      </c>
    </row>
  </sheetData>
  <phoneticPr fontId="2" type="noConversion"/>
  <pageMargins left="0.75" right="0.75" top="1" bottom="1" header="0.5" footer="0.5"/>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BA88-76B0-411F-B516-C6CAC9374F9E}">
  <dimension ref="A1:AO44"/>
  <sheetViews>
    <sheetView tabSelected="1" topLeftCell="B1" workbookViewId="0">
      <selection activeCell="F2" sqref="F2"/>
    </sheetView>
  </sheetViews>
  <sheetFormatPr defaultRowHeight="14.4" x14ac:dyDescent="0.3"/>
  <cols>
    <col min="9" max="9" width="21.44140625" customWidth="1"/>
    <col min="10" max="10" width="15.109375" customWidth="1"/>
  </cols>
  <sheetData>
    <row r="1" spans="1:41"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row>
    <row r="2" spans="1:41" x14ac:dyDescent="0.3">
      <c r="A2" s="5"/>
      <c r="B2" s="5"/>
      <c r="C2" s="5"/>
      <c r="D2" s="5"/>
      <c r="E2" s="5"/>
      <c r="F2" s="5"/>
      <c r="G2" s="5"/>
      <c r="H2" s="5"/>
      <c r="I2" s="11" t="s">
        <v>119</v>
      </c>
      <c r="J2" s="11"/>
      <c r="K2" s="11"/>
      <c r="L2" s="11"/>
      <c r="M2" s="11"/>
      <c r="N2" s="11"/>
      <c r="O2" s="5"/>
      <c r="P2" s="5"/>
      <c r="Q2" s="5"/>
      <c r="R2" s="5"/>
      <c r="S2" s="5"/>
      <c r="T2" s="5"/>
      <c r="U2" s="5"/>
      <c r="V2" s="5"/>
      <c r="W2" s="5"/>
      <c r="X2" s="5"/>
      <c r="Y2" s="5"/>
      <c r="Z2" s="5"/>
      <c r="AA2" s="5"/>
      <c r="AB2" s="5"/>
      <c r="AC2" s="5"/>
      <c r="AD2" s="5"/>
      <c r="AE2" s="5"/>
      <c r="AF2" s="5"/>
      <c r="AG2" s="5"/>
      <c r="AH2" s="5"/>
      <c r="AI2" s="5"/>
      <c r="AJ2" s="5"/>
      <c r="AK2" s="5"/>
      <c r="AL2" s="5"/>
      <c r="AM2" s="5"/>
      <c r="AN2" s="5"/>
      <c r="AO2" s="5"/>
    </row>
    <row r="3" spans="1:41" x14ac:dyDescent="0.3">
      <c r="A3" s="5"/>
      <c r="B3" s="5"/>
      <c r="C3" s="5"/>
      <c r="D3" s="5"/>
      <c r="E3" s="5"/>
      <c r="F3" s="5"/>
      <c r="G3" s="5"/>
      <c r="H3" s="5"/>
      <c r="I3" s="11"/>
      <c r="J3" s="11"/>
      <c r="K3" s="11"/>
      <c r="L3" s="11"/>
      <c r="M3" s="11"/>
      <c r="N3" s="11"/>
      <c r="O3" s="5"/>
      <c r="P3" s="5"/>
      <c r="Q3" s="5"/>
      <c r="R3" s="5"/>
      <c r="S3" s="5"/>
      <c r="T3" s="5"/>
      <c r="U3" s="5"/>
      <c r="V3" s="5"/>
      <c r="W3" s="5"/>
      <c r="X3" s="5"/>
      <c r="Y3" s="5"/>
      <c r="Z3" s="5"/>
      <c r="AA3" s="5"/>
      <c r="AB3" s="5"/>
      <c r="AC3" s="5"/>
      <c r="AD3" s="5"/>
      <c r="AE3" s="5"/>
      <c r="AF3" s="5"/>
      <c r="AG3" s="5"/>
      <c r="AH3" s="5"/>
      <c r="AI3" s="5"/>
      <c r="AJ3" s="5"/>
      <c r="AK3" s="5"/>
      <c r="AL3" s="5"/>
      <c r="AM3" s="5"/>
      <c r="AN3" s="5"/>
      <c r="AO3" s="5"/>
    </row>
    <row r="4" spans="1:41"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row>
    <row r="5" spans="1:4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row>
    <row r="6" spans="1:41"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row>
    <row r="7" spans="1:41"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row>
    <row r="8" spans="1:41"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row>
    <row r="9" spans="1:41"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row>
    <row r="10" spans="1:41"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row>
    <row r="11" spans="1:41"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spans="1:41"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spans="1:41"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row>
    <row r="14" spans="1:41"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row>
    <row r="15" spans="1:41"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spans="1:41"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spans="1:41"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spans="1:41"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row>
    <row r="19" spans="1:41"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row>
    <row r="20" spans="1:41"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spans="1:41"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spans="1:41" x14ac:dyDescent="0.3">
      <c r="A22" s="5"/>
      <c r="B22" s="5"/>
      <c r="C22" s="5"/>
      <c r="D22" s="5"/>
      <c r="E22" s="5"/>
      <c r="F22" s="5"/>
      <c r="G22" s="5"/>
      <c r="H22" s="5"/>
      <c r="I22" s="7" t="s">
        <v>92</v>
      </c>
      <c r="J22" s="8">
        <v>25</v>
      </c>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row>
    <row r="23" spans="1:41" x14ac:dyDescent="0.3">
      <c r="A23" s="5"/>
      <c r="B23" s="5"/>
      <c r="C23" s="5"/>
      <c r="D23" s="5"/>
      <c r="E23" s="5"/>
      <c r="F23" s="5"/>
      <c r="G23" s="5"/>
      <c r="H23" s="5"/>
      <c r="I23" s="7" t="s">
        <v>93</v>
      </c>
      <c r="J23" s="8">
        <v>135</v>
      </c>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row>
    <row r="24" spans="1:41" x14ac:dyDescent="0.3">
      <c r="A24" s="5"/>
      <c r="B24" s="5"/>
      <c r="C24" s="5"/>
      <c r="D24" s="5"/>
      <c r="E24" s="5"/>
      <c r="F24" s="5"/>
      <c r="G24" s="5"/>
      <c r="H24" s="5"/>
      <c r="I24" s="7" t="s">
        <v>94</v>
      </c>
      <c r="J24" s="8" t="s">
        <v>19</v>
      </c>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spans="1:41" x14ac:dyDescent="0.3">
      <c r="A25" s="5"/>
      <c r="B25" s="5"/>
      <c r="C25" s="5"/>
      <c r="D25" s="5"/>
      <c r="E25" s="5"/>
      <c r="F25" s="5"/>
      <c r="G25" s="5"/>
      <c r="H25" s="5"/>
      <c r="I25" s="7" t="s">
        <v>95</v>
      </c>
      <c r="J25" s="8" t="s">
        <v>97</v>
      </c>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spans="1:41" x14ac:dyDescent="0.3">
      <c r="A26" s="5"/>
      <c r="B26" s="5"/>
      <c r="C26" s="5"/>
      <c r="D26" s="5"/>
      <c r="E26" s="5"/>
      <c r="F26" s="5"/>
      <c r="G26" s="5"/>
      <c r="H26" s="5"/>
      <c r="I26" s="7" t="s">
        <v>96</v>
      </c>
      <c r="J26" s="8">
        <v>1137.0219999999999</v>
      </c>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spans="1:41"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row>
    <row r="28" spans="1:41"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row>
    <row r="29" spans="1:41"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spans="1:41"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spans="1:41"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row>
    <row r="32" spans="1:41"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row>
    <row r="33" spans="1:41"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spans="1:41"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spans="1:41"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spans="1:41"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row>
    <row r="37" spans="1:41"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row>
    <row r="38" spans="1:41"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spans="1:41"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spans="1:41"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spans="1:41"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spans="1:41"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spans="1:41"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spans="1:41"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sheetData>
  <mergeCells count="1">
    <mergeCell ref="I2:N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BCD2B-875C-4E91-B92C-19F3517F5708}">
  <dimension ref="A3:G10"/>
  <sheetViews>
    <sheetView workbookViewId="0">
      <selection activeCell="H20" sqref="H20"/>
    </sheetView>
  </sheetViews>
  <sheetFormatPr defaultRowHeight="14.4" x14ac:dyDescent="0.3"/>
  <cols>
    <col min="1" max="1" width="14.6640625" bestFit="1" customWidth="1"/>
    <col min="2" max="2" width="15.5546875" bestFit="1" customWidth="1"/>
    <col min="3" max="3" width="10" bestFit="1" customWidth="1"/>
    <col min="4" max="4" width="7.44140625" bestFit="1" customWidth="1"/>
    <col min="5" max="5" width="7.33203125" bestFit="1" customWidth="1"/>
    <col min="6" max="6" width="8.109375" bestFit="1" customWidth="1"/>
    <col min="7" max="7" width="10.77734375" bestFit="1" customWidth="1"/>
  </cols>
  <sheetData>
    <row r="3" spans="1:7" x14ac:dyDescent="0.3">
      <c r="A3" s="2" t="s">
        <v>99</v>
      </c>
      <c r="B3" s="2" t="s">
        <v>100</v>
      </c>
    </row>
    <row r="4" spans="1:7" x14ac:dyDescent="0.3">
      <c r="A4" s="2" t="s">
        <v>69</v>
      </c>
      <c r="B4" t="s">
        <v>11</v>
      </c>
      <c r="C4" t="s">
        <v>26</v>
      </c>
      <c r="D4" t="s">
        <v>8</v>
      </c>
      <c r="E4" t="s">
        <v>14</v>
      </c>
      <c r="F4" t="s">
        <v>17</v>
      </c>
      <c r="G4" t="s">
        <v>70</v>
      </c>
    </row>
    <row r="5" spans="1:7" x14ac:dyDescent="0.3">
      <c r="A5" s="3" t="s">
        <v>43</v>
      </c>
      <c r="B5">
        <v>1</v>
      </c>
      <c r="D5">
        <v>1</v>
      </c>
      <c r="G5">
        <v>2</v>
      </c>
    </row>
    <row r="6" spans="1:7" x14ac:dyDescent="0.3">
      <c r="A6" s="3" t="s">
        <v>41</v>
      </c>
      <c r="B6">
        <v>2</v>
      </c>
      <c r="C6">
        <v>1</v>
      </c>
      <c r="D6">
        <v>1</v>
      </c>
      <c r="F6">
        <v>1</v>
      </c>
      <c r="G6">
        <v>5</v>
      </c>
    </row>
    <row r="7" spans="1:7" x14ac:dyDescent="0.3">
      <c r="A7" s="3" t="s">
        <v>39</v>
      </c>
      <c r="B7">
        <v>2</v>
      </c>
      <c r="D7">
        <v>2</v>
      </c>
      <c r="F7">
        <v>2</v>
      </c>
      <c r="G7">
        <v>6</v>
      </c>
    </row>
    <row r="8" spans="1:7" x14ac:dyDescent="0.3">
      <c r="A8" s="3" t="s">
        <v>40</v>
      </c>
      <c r="C8">
        <v>2</v>
      </c>
      <c r="D8">
        <v>1</v>
      </c>
      <c r="E8">
        <v>2</v>
      </c>
      <c r="F8">
        <v>2</v>
      </c>
      <c r="G8">
        <v>7</v>
      </c>
    </row>
    <row r="9" spans="1:7" x14ac:dyDescent="0.3">
      <c r="A9" s="3" t="s">
        <v>42</v>
      </c>
      <c r="B9">
        <v>2</v>
      </c>
      <c r="C9">
        <v>1</v>
      </c>
      <c r="D9">
        <v>1</v>
      </c>
      <c r="F9">
        <v>1</v>
      </c>
      <c r="G9">
        <v>5</v>
      </c>
    </row>
    <row r="10" spans="1:7" x14ac:dyDescent="0.3">
      <c r="A10" s="3" t="s">
        <v>70</v>
      </c>
      <c r="B10">
        <v>7</v>
      </c>
      <c r="C10">
        <v>4</v>
      </c>
      <c r="D10">
        <v>6</v>
      </c>
      <c r="E10">
        <v>2</v>
      </c>
      <c r="F10">
        <v>6</v>
      </c>
      <c r="G10">
        <v>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election sqref="A1:D26"/>
    </sheetView>
  </sheetViews>
  <sheetFormatPr defaultRowHeight="14.4" x14ac:dyDescent="0.3"/>
  <cols>
    <col min="1" max="1" width="11.33203125" customWidth="1"/>
    <col min="2" max="2" width="17.6640625" customWidth="1"/>
    <col min="3" max="3" width="11.21875" customWidth="1"/>
  </cols>
  <sheetData>
    <row r="1" spans="1:4" x14ac:dyDescent="0.3">
      <c r="A1" s="4" t="s">
        <v>2</v>
      </c>
      <c r="B1" s="4" t="s">
        <v>5</v>
      </c>
      <c r="C1" s="4" t="s">
        <v>6</v>
      </c>
      <c r="D1" s="9" t="s">
        <v>98</v>
      </c>
    </row>
    <row r="2" spans="1:4" x14ac:dyDescent="0.3">
      <c r="A2" t="s">
        <v>44</v>
      </c>
      <c r="B2" t="s">
        <v>7</v>
      </c>
      <c r="C2" t="s">
        <v>8</v>
      </c>
      <c r="D2" t="s">
        <v>39</v>
      </c>
    </row>
    <row r="3" spans="1:4" x14ac:dyDescent="0.3">
      <c r="A3" t="s">
        <v>45</v>
      </c>
      <c r="B3" t="s">
        <v>9</v>
      </c>
      <c r="C3" t="s">
        <v>8</v>
      </c>
      <c r="D3" t="s">
        <v>40</v>
      </c>
    </row>
    <row r="4" spans="1:4" x14ac:dyDescent="0.3">
      <c r="A4" t="s">
        <v>46</v>
      </c>
      <c r="B4" t="s">
        <v>10</v>
      </c>
      <c r="C4" t="s">
        <v>11</v>
      </c>
      <c r="D4" t="s">
        <v>41</v>
      </c>
    </row>
    <row r="5" spans="1:4" x14ac:dyDescent="0.3">
      <c r="A5" t="s">
        <v>47</v>
      </c>
      <c r="B5" t="s">
        <v>12</v>
      </c>
      <c r="C5" t="s">
        <v>11</v>
      </c>
      <c r="D5" t="s">
        <v>39</v>
      </c>
    </row>
    <row r="6" spans="1:4" x14ac:dyDescent="0.3">
      <c r="A6" t="s">
        <v>48</v>
      </c>
      <c r="B6" t="s">
        <v>13</v>
      </c>
      <c r="C6" t="s">
        <v>14</v>
      </c>
      <c r="D6" t="s">
        <v>40</v>
      </c>
    </row>
    <row r="7" spans="1:4" x14ac:dyDescent="0.3">
      <c r="A7" t="s">
        <v>49</v>
      </c>
      <c r="B7" t="s">
        <v>15</v>
      </c>
      <c r="C7" t="s">
        <v>11</v>
      </c>
      <c r="D7" t="s">
        <v>41</v>
      </c>
    </row>
    <row r="8" spans="1:4" x14ac:dyDescent="0.3">
      <c r="A8" t="s">
        <v>50</v>
      </c>
      <c r="B8" t="s">
        <v>16</v>
      </c>
      <c r="C8" t="s">
        <v>17</v>
      </c>
      <c r="D8" t="s">
        <v>42</v>
      </c>
    </row>
    <row r="9" spans="1:4" x14ac:dyDescent="0.3">
      <c r="A9" t="s">
        <v>51</v>
      </c>
      <c r="B9" t="s">
        <v>18</v>
      </c>
      <c r="C9" t="s">
        <v>11</v>
      </c>
      <c r="D9" t="s">
        <v>43</v>
      </c>
    </row>
    <row r="10" spans="1:4" x14ac:dyDescent="0.3">
      <c r="A10" t="s">
        <v>52</v>
      </c>
      <c r="B10" t="s">
        <v>19</v>
      </c>
      <c r="C10" t="s">
        <v>17</v>
      </c>
      <c r="D10" t="s">
        <v>39</v>
      </c>
    </row>
    <row r="11" spans="1:4" x14ac:dyDescent="0.3">
      <c r="A11" t="s">
        <v>53</v>
      </c>
      <c r="B11" t="s">
        <v>20</v>
      </c>
      <c r="C11" t="s">
        <v>14</v>
      </c>
      <c r="D11" t="s">
        <v>40</v>
      </c>
    </row>
    <row r="12" spans="1:4" x14ac:dyDescent="0.3">
      <c r="A12" t="s">
        <v>54</v>
      </c>
      <c r="B12" t="s">
        <v>21</v>
      </c>
      <c r="C12" t="s">
        <v>8</v>
      </c>
      <c r="D12" t="s">
        <v>41</v>
      </c>
    </row>
    <row r="13" spans="1:4" x14ac:dyDescent="0.3">
      <c r="A13" t="s">
        <v>55</v>
      </c>
      <c r="B13" t="s">
        <v>22</v>
      </c>
      <c r="C13" t="s">
        <v>8</v>
      </c>
      <c r="D13" t="s">
        <v>42</v>
      </c>
    </row>
    <row r="14" spans="1:4" x14ac:dyDescent="0.3">
      <c r="A14" t="s">
        <v>56</v>
      </c>
      <c r="B14" t="s">
        <v>23</v>
      </c>
      <c r="C14" t="s">
        <v>11</v>
      </c>
      <c r="D14" t="s">
        <v>42</v>
      </c>
    </row>
    <row r="15" spans="1:4" x14ac:dyDescent="0.3">
      <c r="A15" t="s">
        <v>57</v>
      </c>
      <c r="B15" t="s">
        <v>24</v>
      </c>
      <c r="C15" t="s">
        <v>17</v>
      </c>
      <c r="D15" t="s">
        <v>39</v>
      </c>
    </row>
    <row r="16" spans="1:4" x14ac:dyDescent="0.3">
      <c r="A16" t="s">
        <v>58</v>
      </c>
      <c r="B16" t="s">
        <v>25</v>
      </c>
      <c r="C16" t="s">
        <v>26</v>
      </c>
      <c r="D16" t="s">
        <v>40</v>
      </c>
    </row>
    <row r="17" spans="1:4" x14ac:dyDescent="0.3">
      <c r="A17" t="s">
        <v>59</v>
      </c>
      <c r="B17" t="s">
        <v>27</v>
      </c>
      <c r="C17" t="s">
        <v>26</v>
      </c>
      <c r="D17" t="s">
        <v>41</v>
      </c>
    </row>
    <row r="18" spans="1:4" x14ac:dyDescent="0.3">
      <c r="A18" t="s">
        <v>60</v>
      </c>
      <c r="B18" t="s">
        <v>28</v>
      </c>
      <c r="C18" t="s">
        <v>26</v>
      </c>
      <c r="D18" t="s">
        <v>42</v>
      </c>
    </row>
    <row r="19" spans="1:4" x14ac:dyDescent="0.3">
      <c r="A19" t="s">
        <v>61</v>
      </c>
      <c r="B19" t="s">
        <v>29</v>
      </c>
      <c r="C19" t="s">
        <v>8</v>
      </c>
      <c r="D19" t="s">
        <v>43</v>
      </c>
    </row>
    <row r="20" spans="1:4" x14ac:dyDescent="0.3">
      <c r="A20" t="s">
        <v>62</v>
      </c>
      <c r="B20" t="s">
        <v>30</v>
      </c>
      <c r="C20" t="s">
        <v>8</v>
      </c>
      <c r="D20" t="s">
        <v>39</v>
      </c>
    </row>
    <row r="21" spans="1:4" x14ac:dyDescent="0.3">
      <c r="A21" t="s">
        <v>63</v>
      </c>
      <c r="B21" t="s">
        <v>31</v>
      </c>
      <c r="C21" t="s">
        <v>17</v>
      </c>
      <c r="D21" t="s">
        <v>40</v>
      </c>
    </row>
    <row r="22" spans="1:4" x14ac:dyDescent="0.3">
      <c r="A22" t="s">
        <v>64</v>
      </c>
      <c r="B22" t="s">
        <v>32</v>
      </c>
      <c r="C22" t="s">
        <v>11</v>
      </c>
      <c r="D22" t="s">
        <v>39</v>
      </c>
    </row>
    <row r="23" spans="1:4" x14ac:dyDescent="0.3">
      <c r="A23" t="s">
        <v>65</v>
      </c>
      <c r="B23" t="s">
        <v>33</v>
      </c>
      <c r="C23" t="s">
        <v>26</v>
      </c>
      <c r="D23" t="s">
        <v>40</v>
      </c>
    </row>
    <row r="24" spans="1:4" x14ac:dyDescent="0.3">
      <c r="A24" t="s">
        <v>66</v>
      </c>
      <c r="B24" t="s">
        <v>34</v>
      </c>
      <c r="C24" t="s">
        <v>17</v>
      </c>
      <c r="D24" t="s">
        <v>40</v>
      </c>
    </row>
    <row r="25" spans="1:4" x14ac:dyDescent="0.3">
      <c r="A25" t="s">
        <v>67</v>
      </c>
      <c r="B25" t="s">
        <v>35</v>
      </c>
      <c r="C25" t="s">
        <v>17</v>
      </c>
      <c r="D25" t="s">
        <v>41</v>
      </c>
    </row>
    <row r="26" spans="1:4" x14ac:dyDescent="0.3">
      <c r="A26" t="s">
        <v>68</v>
      </c>
      <c r="B26" t="s">
        <v>36</v>
      </c>
      <c r="C26" t="s">
        <v>11</v>
      </c>
      <c r="D26" t="s">
        <v>42</v>
      </c>
    </row>
  </sheetData>
  <phoneticPr fontId="2" type="noConversion"/>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election activeCell="A2" sqref="A2"/>
    </sheetView>
  </sheetViews>
  <sheetFormatPr defaultRowHeight="14.4" x14ac:dyDescent="0.3"/>
  <cols>
    <col min="1" max="1" width="10.44140625" customWidth="1"/>
    <col min="2" max="2" width="13.6640625" customWidth="1"/>
  </cols>
  <sheetData>
    <row r="1" spans="1:2" x14ac:dyDescent="0.3">
      <c r="A1" s="4" t="s">
        <v>37</v>
      </c>
      <c r="B1" s="4" t="s">
        <v>38</v>
      </c>
    </row>
    <row r="2" spans="1:2" x14ac:dyDescent="0.3">
      <c r="A2" t="s">
        <v>87</v>
      </c>
      <c r="B2" t="s">
        <v>39</v>
      </c>
    </row>
    <row r="3" spans="1:2" x14ac:dyDescent="0.3">
      <c r="A3" t="s">
        <v>88</v>
      </c>
      <c r="B3" t="s">
        <v>40</v>
      </c>
    </row>
    <row r="4" spans="1:2" x14ac:dyDescent="0.3">
      <c r="A4" t="s">
        <v>89</v>
      </c>
      <c r="B4" t="s">
        <v>41</v>
      </c>
    </row>
    <row r="5" spans="1:2" x14ac:dyDescent="0.3">
      <c r="A5" t="s">
        <v>90</v>
      </c>
      <c r="B5" t="s">
        <v>42</v>
      </c>
    </row>
    <row r="6" spans="1:2" x14ac:dyDescent="0.3">
      <c r="A6" t="s">
        <v>91</v>
      </c>
      <c r="B6" t="s">
        <v>43</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MONTHLY SALES TRENDS</vt:lpstr>
      <vt:lpstr>answers</vt:lpstr>
      <vt:lpstr>WEEKDAY PERFORMANCE</vt:lpstr>
      <vt:lpstr>TOP 5 PRODUTS</vt:lpstr>
      <vt:lpstr>Sales</vt:lpstr>
      <vt:lpstr>DASHBOARD</vt:lpstr>
      <vt:lpstr>REGION CONTRIBUTION</vt:lpstr>
      <vt:lpstr>Products</vt:lpstr>
      <vt:lpstr>Regions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Jino Jacob</cp:lastModifiedBy>
  <dcterms:created xsi:type="dcterms:W3CDTF">2026-02-08T17:30:14Z</dcterms:created>
  <dcterms:modified xsi:type="dcterms:W3CDTF">2026-02-08T20:19:52Z</dcterms:modified>
</cp:coreProperties>
</file>