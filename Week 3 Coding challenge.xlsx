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5ce81971c39fd9/Desktop/Entri/Coding challenge/week 3/"/>
    </mc:Choice>
  </mc:AlternateContent>
  <xr:revisionPtr revIDLastSave="155" documentId="13_ncr:1_{47E4B9B9-B121-49D5-B889-3A86171A0D45}" xr6:coauthVersionLast="47" xr6:coauthVersionMax="47" xr10:uidLastSave="{70FAD090-74A6-45F1-A91E-051018D49B1E}"/>
  <bookViews>
    <workbookView xWindow="-108" yWindow="-108" windowWidth="23256" windowHeight="12456" activeTab="2" xr2:uid="{C8E79536-C4DF-48F0-AB70-920B791C9A9A}"/>
  </bookViews>
  <sheets>
    <sheet name="Table001 (Page 1)" sheetId="2" r:id="rId1"/>
    <sheet name="Work file" sheetId="1" r:id="rId2"/>
    <sheet name="Final Result" sheetId="4" r:id="rId3"/>
    <sheet name="Sheet2" sheetId="3" r:id="rId4"/>
  </sheets>
  <definedNames>
    <definedName name="ExternalData_1" localSheetId="0" hidden="1">'Table001 (Page 1)'!$A$1:$F$11</definedName>
    <definedName name="ExternalData_1" localSheetId="1" hidden="1">'Work file'!$A$1:$K$11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L2" i="1"/>
  <c r="L3" i="1"/>
  <c r="L4" i="1"/>
  <c r="L5" i="1"/>
  <c r="L6" i="1"/>
  <c r="L7" i="1"/>
  <c r="L8" i="1"/>
  <c r="L9" i="1"/>
  <c r="L10" i="1"/>
  <c r="L11" i="1"/>
  <c r="M2" i="1"/>
  <c r="M3" i="1"/>
  <c r="M4" i="1"/>
  <c r="M5" i="1"/>
  <c r="M6" i="1"/>
  <c r="M7" i="1"/>
  <c r="M8" i="1"/>
  <c r="M9" i="1"/>
  <c r="M10" i="1"/>
  <c r="M11" i="1"/>
  <c r="J9" i="1"/>
  <c r="J4" i="1"/>
  <c r="J2" i="1"/>
  <c r="J3" i="1"/>
  <c r="F2" i="1"/>
  <c r="F3" i="1"/>
  <c r="F4" i="1"/>
  <c r="F5" i="1"/>
  <c r="F6" i="1"/>
  <c r="F7" i="1"/>
  <c r="F8" i="1"/>
  <c r="F9" i="1"/>
  <c r="F10" i="1"/>
  <c r="F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B6EA4-EFFD-4938-A757-6C2E46BDAC35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F94AB8F7-E25D-4BAD-B5C7-527DE6AE960D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</connections>
</file>

<file path=xl/sharedStrings.xml><?xml version="1.0" encoding="utf-8"?>
<sst xmlns="http://schemas.openxmlformats.org/spreadsheetml/2006/main" count="252" uniqueCount="78">
  <si>
    <t>Order_ID</t>
  </si>
  <si>
    <t>Order_Date</t>
  </si>
  <si>
    <t>Region_Product_Code</t>
  </si>
  <si>
    <t>Product_Name</t>
  </si>
  <si>
    <t>Quantity</t>
  </si>
  <si>
    <t>Sales_Amount</t>
  </si>
  <si>
    <t>NA_ProductA_001</t>
  </si>
  <si>
    <t>Product A</t>
  </si>
  <si>
    <t>10</t>
  </si>
  <si>
    <t>$1,200</t>
  </si>
  <si>
    <t>NA_product a_001</t>
  </si>
  <si>
    <t>product a</t>
  </si>
  <si>
    <t>1200$</t>
  </si>
  <si>
    <t>EU_ProductB_002</t>
  </si>
  <si>
    <t>ProductB</t>
  </si>
  <si>
    <t>five</t>
  </si>
  <si>
    <t>€800</t>
  </si>
  <si>
    <t>EU_Product B_002</t>
  </si>
  <si>
    <t>Product B</t>
  </si>
  <si>
    <t>5</t>
  </si>
  <si>
    <t>800</t>
  </si>
  <si>
    <t>APAC_ProductC_003</t>
  </si>
  <si>
    <t>Prodcut C</t>
  </si>
  <si>
    <t>7</t>
  </si>
  <si>
    <t>~900</t>
  </si>
  <si>
    <t>Product C</t>
  </si>
  <si>
    <t>900</t>
  </si>
  <si>
    <t>1,200</t>
  </si>
  <si>
    <t>NA_ProductD_004</t>
  </si>
  <si>
    <t>Product D</t>
  </si>
  <si>
    <t>N/A</t>
  </si>
  <si>
    <t>500</t>
  </si>
  <si>
    <t>PRODUCT B</t>
  </si>
  <si>
    <t>Eight Hundred</t>
  </si>
  <si>
    <t>Column1</t>
  </si>
  <si>
    <t>NA</t>
  </si>
  <si>
    <t>ProductA</t>
  </si>
  <si>
    <t>EU</t>
  </si>
  <si>
    <t>APAC</t>
  </si>
  <si>
    <t>ProductC</t>
  </si>
  <si>
    <t>ProductD</t>
  </si>
  <si>
    <t>Region</t>
  </si>
  <si>
    <t>Product</t>
  </si>
  <si>
    <t>Code</t>
  </si>
  <si>
    <t xml:space="preserve">● Inconsistent product names due to spacing, casing, and spelling differences </t>
  </si>
  <si>
    <t>● Multiple columns contain merged text values (e.g., Region_Product_Code)</t>
  </si>
  <si>
    <t>● Duplicate records exist, but removing them incorrectly affects totals</t>
  </si>
  <si>
    <t xml:space="preserve">● The final report requires filtered summary statistics (mean and standard deviation) for only valid records </t>
  </si>
  <si>
    <t>● Some numeric fields contain text and extra symbols</t>
  </si>
  <si>
    <t xml:space="preserve">Describe the end-to-end approach you would use in Excel to clean, standardize, split, validate, and analyze this dataset. </t>
  </si>
  <si>
    <t xml:space="preserve">Question: A sales dataset is prepared manually by multiple teams and shows the following problems:   </t>
  </si>
  <si>
    <t>Explain how you would prevent future data issues and ensure the results remain accurate when new data is added.</t>
  </si>
  <si>
    <t>Column2</t>
  </si>
  <si>
    <t>Column3</t>
  </si>
  <si>
    <t>Product Name</t>
  </si>
  <si>
    <t>product A</t>
  </si>
  <si>
    <t>Sales Amount</t>
  </si>
  <si>
    <t>Column4</t>
  </si>
  <si>
    <t>Minimum</t>
  </si>
  <si>
    <t>Maximum</t>
  </si>
  <si>
    <t>Sum</t>
  </si>
  <si>
    <t>Count</t>
  </si>
  <si>
    <t>Step 1:</t>
  </si>
  <si>
    <r>
      <t xml:space="preserve">NA_ProductA_001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Region  NA</t>
    </r>
  </si>
  <si>
    <t xml:space="preserve">Product </t>
  </si>
  <si>
    <t>Product Product A</t>
  </si>
  <si>
    <t>Code 001</t>
  </si>
  <si>
    <t xml:space="preserve">Text to column </t>
  </si>
  <si>
    <t>Step 2:</t>
  </si>
  <si>
    <t>Tool used</t>
  </si>
  <si>
    <t>Find duplicates</t>
  </si>
  <si>
    <t>Remove duplicates</t>
  </si>
  <si>
    <t>Step 3:</t>
  </si>
  <si>
    <t>Removing Unneccessary characters and cells</t>
  </si>
  <si>
    <t>Functions used</t>
  </si>
  <si>
    <t>Question 1:</t>
  </si>
  <si>
    <t>Question 2:</t>
  </si>
  <si>
    <r>
      <t xml:space="preserve">I prevent future data issues by standardizing data entry using </t>
    </r>
    <r>
      <rPr>
        <b/>
        <sz val="11"/>
        <color theme="1"/>
        <rFont val="Calibri"/>
        <family val="2"/>
        <scheme val="minor"/>
      </rPr>
      <t>validation rules</t>
    </r>
    <r>
      <rPr>
        <sz val="11"/>
        <color theme="1"/>
        <rFont val="Calibri"/>
        <family val="2"/>
        <scheme val="minor"/>
      </rPr>
      <t xml:space="preserve"> and master tables, and by automating cleaning through repeatable transformations instead of manual fixes. I also add validation checks for duplicates and invalid values, keep raw and cleaned data separate, and use refresh-based reporting so results stay accurate when new data is added.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</si>
</sst>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0" fillId="2" borderId="5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64" fontId="0" fillId="0" borderId="8" xfId="0" applyNumberFormat="1" applyBorder="1"/>
    <xf numFmtId="0" fontId="0" fillId="0" borderId="6" xfId="0" applyBorder="1"/>
    <xf numFmtId="0" fontId="0" fillId="0" borderId="9" xfId="0" applyBorder="1"/>
    <xf numFmtId="0" fontId="0" fillId="0" borderId="0" xfId="0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3" fillId="0" borderId="11" xfId="0" applyFont="1" applyFill="1" applyBorder="1" applyAlignment="1">
      <alignment horizontal="centerContinuous"/>
    </xf>
    <xf numFmtId="0" fontId="0" fillId="0" borderId="0" xfId="0" applyBorder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5">
    <dxf>
      <numFmt numFmtId="2" formatCode="0.0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</xdr:colOff>
      <xdr:row>23</xdr:row>
      <xdr:rowOff>175260</xdr:rowOff>
    </xdr:from>
    <xdr:to>
      <xdr:col>3</xdr:col>
      <xdr:colOff>548832</xdr:colOff>
      <xdr:row>25</xdr:row>
      <xdr:rowOff>15258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0D89DA-2F33-A0E4-C638-A8574CD7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740" y="4389120"/>
          <a:ext cx="2217612" cy="205758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</xdr:colOff>
      <xdr:row>25</xdr:row>
      <xdr:rowOff>167640</xdr:rowOff>
    </xdr:from>
    <xdr:to>
      <xdr:col>2</xdr:col>
      <xdr:colOff>1607952</xdr:colOff>
      <xdr:row>27</xdr:row>
      <xdr:rowOff>7638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4B8417-BA2A-E0DB-170F-83FFB56D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4747260"/>
          <a:ext cx="1524132" cy="20575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28</xdr:row>
      <xdr:rowOff>22860</xdr:rowOff>
    </xdr:from>
    <xdr:to>
      <xdr:col>6</xdr:col>
      <xdr:colOff>861547</xdr:colOff>
      <xdr:row>28</xdr:row>
      <xdr:rowOff>175273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6DA4CA-A01D-45B7-968C-4F13A7440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7880" y="5151120"/>
          <a:ext cx="5624047" cy="15241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690F8B-38A4-465C-AA90-7E7846AC04A0}" autoFormatId="16" applyNumberFormats="0" applyBorderFormats="0" applyFontFormats="0" applyPatternFormats="0" applyAlignmentFormats="0" applyWidthHeightFormats="0">
  <queryTableRefresh nextId="11">
    <queryTableFields count="6">
      <queryTableField id="1" name="Order_ID" tableColumnId="1"/>
      <queryTableField id="2" name="Order_Date" tableColumnId="2"/>
      <queryTableField id="3" name="Region_Product_Code" tableColumnId="3"/>
      <queryTableField id="4" name="Product_Name" tableColumnId="4"/>
      <queryTableField id="5" name="Quantity" tableColumnId="5"/>
      <queryTableField id="6" name="Sales_Am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4BC506-3891-4B80-BCE9-E11F4632CC74}" autoFormatId="16" applyNumberFormats="0" applyBorderFormats="0" applyFontFormats="0" applyPatternFormats="0" applyAlignmentFormats="0" applyWidthHeightFormats="0">
  <queryTableRefresh nextId="18" unboundColumnsRight="2">
    <queryTableFields count="13">
      <queryTableField id="1" name="Order_ID" tableColumnId="1"/>
      <queryTableField id="2" name="Order_Date" tableColumnId="2"/>
      <queryTableField id="3" name="Region_Product_Code" tableColumnId="3"/>
      <queryTableField id="9" dataBound="0" tableColumnId="9"/>
      <queryTableField id="8" dataBound="0" tableColumnId="8"/>
      <queryTableField id="14" dataBound="0" tableColumnId="12"/>
      <queryTableField id="7" dataBound="0" tableColumnId="7"/>
      <queryTableField id="11" dataBound="0" tableColumnId="10"/>
      <queryTableField id="5" name="Quantity" tableColumnId="5"/>
      <queryTableField id="15" dataBound="0" tableColumnId="13"/>
      <queryTableField id="6" name="Sales_Amount" tableColumnId="6"/>
      <queryTableField id="17" dataBound="0" tableColumnId="4"/>
      <queryTableField id="16" dataBound="0" tableColumnId="14"/>
    </queryTableFields>
    <queryTableDeletedFields count="1">
      <deletedField name="Product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911F46-2493-4F37-A501-48CC2DBD847E}" name="Table001__Page_1" displayName="Table001__Page_1" ref="A1:F11" tableType="queryTable" totalsRowShown="0">
  <autoFilter ref="A1:F11" xr:uid="{3D911F46-2493-4F37-A501-48CC2DBD847E}"/>
  <tableColumns count="6">
    <tableColumn id="1" xr3:uid="{02190ED3-AB66-485C-8C3D-95AF3562FC6D}" uniqueName="1" name="Order_ID" queryTableFieldId="1"/>
    <tableColumn id="2" xr3:uid="{129C21F3-24CF-41A0-9975-73ECB37850A9}" uniqueName="2" name="Order_Date" queryTableFieldId="2" dataDxfId="54"/>
    <tableColumn id="3" xr3:uid="{AC146D8F-CC59-43F6-AD28-0EBD286147D2}" uniqueName="3" name="Region_Product_Code" queryTableFieldId="3" dataDxfId="53"/>
    <tableColumn id="4" xr3:uid="{5D39F48E-31E0-4E4C-89A1-6D1ED501344D}" uniqueName="4" name="Product_Name" queryTableFieldId="4" dataDxfId="52"/>
    <tableColumn id="5" xr3:uid="{67B31260-A460-486D-8B6B-867436A09FA8}" uniqueName="5" name="Quantity" queryTableFieldId="5" dataDxfId="51"/>
    <tableColumn id="6" xr3:uid="{7FD4AA52-103B-43BE-81EA-37097664C4BF}" uniqueName="6" name="Sales_Amount" queryTableFieldId="6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EF0B23-EA31-4396-929A-01AB7A46D79A}" name="Table001__Page_13" displayName="Table001__Page_13" ref="A1:M11" tableType="queryTable" totalsRowShown="0">
  <autoFilter ref="A1:M11" xr:uid="{CBEF0B23-EA31-4396-929A-01AB7A46D79A}"/>
  <tableColumns count="13">
    <tableColumn id="1" xr3:uid="{3F20F3F4-5AC9-47B8-8C53-BDBC93794705}" uniqueName="1" name="Order_ID" queryTableFieldId="1" dataDxfId="49"/>
    <tableColumn id="2" xr3:uid="{8AF90BBC-8E59-438C-BAB1-739BAFFD46FD}" uniqueName="2" name="Order_Date" queryTableFieldId="2" dataDxfId="48"/>
    <tableColumn id="3" xr3:uid="{13D7A072-3260-4862-B668-BCBFAF00F100}" uniqueName="3" name="Region_Product_Code" queryTableFieldId="3" dataDxfId="47"/>
    <tableColumn id="9" xr3:uid="{F019AD71-201E-45CD-94E7-1DA995ABBEE0}" uniqueName="9" name="Region" queryTableFieldId="9" dataDxfId="46"/>
    <tableColumn id="8" xr3:uid="{5ED6F4C5-659E-4DCA-86F6-0A56E95355E2}" uniqueName="8" name="Product" queryTableFieldId="8" dataDxfId="45"/>
    <tableColumn id="12" xr3:uid="{06E0C2E1-80E2-4BA9-9E3D-310B28CCB8A4}" uniqueName="12" name="Column1" queryTableFieldId="14" dataDxfId="44">
      <calculatedColumnFormula>PROPER(E2)</calculatedColumnFormula>
    </tableColumn>
    <tableColumn id="7" xr3:uid="{780ECBB0-ED24-4DA0-B38F-60268ECE092E}" uniqueName="7" name="Code" queryTableFieldId="7" dataDxfId="43"/>
    <tableColumn id="10" xr3:uid="{D9FB016B-5779-4C73-BFCD-7EA8CA465321}" uniqueName="10" name="Product Name" queryTableFieldId="11" dataDxfId="17">
      <calculatedColumnFormula>PROPER(LEFT(E2,7)&amp;" "&amp;RIGHT(E2,1))</calculatedColumnFormula>
    </tableColumn>
    <tableColumn id="5" xr3:uid="{6E8EFD0C-32A4-4C16-91CA-D6E4A883E9DA}" uniqueName="5" name="Quantity" queryTableFieldId="5" dataDxfId="42"/>
    <tableColumn id="13" xr3:uid="{1FBC9924-EB32-47F9-9709-2D07F4EE75B4}" uniqueName="13" name="Column2" queryTableFieldId="15" dataDxfId="41">
      <calculatedColumnFormula>VALUE(I2)</calculatedColumnFormula>
    </tableColumn>
    <tableColumn id="6" xr3:uid="{C715A6E6-5A9A-434D-9124-AA71C76D4B55}" uniqueName="6" name="Sales_Amount" queryTableFieldId="6" dataDxfId="2"/>
    <tableColumn id="4" xr3:uid="{F8B6EFAB-C2CB-4A4D-B204-D16044241FDC}" uniqueName="4" name="Column4" queryTableFieldId="17" dataDxfId="0">
      <calculatedColumnFormula>CLEAN(Table001__Page_13[[#This Row],[Sales_Amount]])</calculatedColumnFormula>
    </tableColumn>
    <tableColumn id="14" xr3:uid="{279F6AD1-F9D9-4C94-91F6-0669C8377015}" uniqueName="14" name="Column3" queryTableFieldId="16" dataDxfId="1">
      <calculatedColumnFormula>SUBSTITUTE(SUBSTITUTE(SUBSTITUTE(SUBSTITUTE(K2,"$",""),",",""),"~",""),"Eight Hundred","800")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FB5E23-5E86-4DBE-8737-5DF8D17670FA}" name="Table6" displayName="Table6" ref="A1:H11" totalsRowShown="0" headerRowDxfId="3" dataDxfId="4" headerRowBorderDxfId="14" tableBorderDxfId="15" totalsRowBorderDxfId="13">
  <autoFilter ref="A1:H11" xr:uid="{32FB5E23-5E86-4DBE-8737-5DF8D17670FA}"/>
  <tableColumns count="8">
    <tableColumn id="1" xr3:uid="{262BEE2A-25C6-4755-8469-770D83E70661}" name="Order_ID" dataDxfId="12"/>
    <tableColumn id="2" xr3:uid="{F46C2B47-1982-4590-94C0-FDBBD2C8DF13}" name="Order_Date" dataDxfId="11"/>
    <tableColumn id="3" xr3:uid="{0F92016B-1DA1-433D-8CC9-BC3D2A8787A9}" name="Region_Product_Code" dataDxfId="10"/>
    <tableColumn id="4" xr3:uid="{C93ADCA5-CF9F-4FE9-892E-A5F14AA7A15E}" name="Region" dataDxfId="9"/>
    <tableColumn id="5" xr3:uid="{7D2A1A56-62D7-4BE2-BF4C-1775324FCE8D}" name="Product " dataDxfId="8"/>
    <tableColumn id="6" xr3:uid="{A55AF988-952C-42A6-B26A-CCEA5662FEE4}" name="Code" dataDxfId="7"/>
    <tableColumn id="7" xr3:uid="{2F062144-F3F9-4364-A29B-0722B0DBC14A}" name="Quantity" dataDxfId="6"/>
    <tableColumn id="8" xr3:uid="{58BC9876-E247-4630-8704-2527429F8E08}" name="Sales Amount" dataDxfId="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2F9E0-0A80-4CA1-B8A3-07E9E76CA07F}" name="Table3" displayName="Table3" ref="A1:H11" totalsRowShown="0" headerRowDxfId="40" headerRowBorderDxfId="39" tableBorderDxfId="38" totalsRowBorderDxfId="37">
  <autoFilter ref="A1:H11" xr:uid="{4F92F9E0-0A80-4CA1-B8A3-07E9E76CA07F}"/>
  <tableColumns count="8">
    <tableColumn id="1" xr3:uid="{33BC8D0B-0B1B-447C-B5E1-EDDACF400FA2}" name="Order_ID" dataDxfId="36"/>
    <tableColumn id="2" xr3:uid="{AA6D8087-2EF2-4BA8-B00D-71584F8882AD}" name="Order_Date" dataDxfId="35"/>
    <tableColumn id="3" xr3:uid="{6ACEC6A3-FE0B-4D71-8F58-6EF8AAACECA5}" name="Region_Product_Code" dataDxfId="34"/>
    <tableColumn id="4" xr3:uid="{149DD9D6-7500-4151-A894-446B867F28E4}" name="Region" dataDxfId="33"/>
    <tableColumn id="5" xr3:uid="{AB0C87B3-2E89-44F8-9A0F-7144599C2237}" name="Product Name" dataDxfId="16"/>
    <tableColumn id="6" xr3:uid="{7B4F1F98-9CDA-4CFF-ACD3-3CF98215A354}" name="Code" dataDxfId="32"/>
    <tableColumn id="7" xr3:uid="{56B7B70C-933E-4EC5-9968-C14C961BE813}" name="Quantity" dataDxfId="31"/>
    <tableColumn id="8" xr3:uid="{C833AB44-6DA6-4938-A8B3-D3CEF6565FBA}" name="Sales Amount" dataDxfId="30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CF805B-58B1-4E73-825E-B5BF0C6145D5}" name="Table35" displayName="Table35" ref="A15:H25" totalsRowShown="0" headerRowDxfId="29" headerRowBorderDxfId="28" tableBorderDxfId="27" totalsRowBorderDxfId="26">
  <autoFilter ref="A15:H25" xr:uid="{63CF805B-58B1-4E73-825E-B5BF0C6145D5}"/>
  <tableColumns count="8">
    <tableColumn id="1" xr3:uid="{8506C814-B40F-4059-A1F5-1B2759C52335}" name="Order_ID" dataDxfId="25"/>
    <tableColumn id="2" xr3:uid="{CA5AEC1F-8D09-4DC9-869B-23C33C4358C7}" name="Order_Date" dataDxfId="24"/>
    <tableColumn id="3" xr3:uid="{0DD3F032-B8CD-4A2D-97BC-56B992D775A9}" name="Region_Product_Code" dataDxfId="23"/>
    <tableColumn id="4" xr3:uid="{CFA10E52-54FF-4D9A-8822-C45E845379B7}" name="Region" dataDxfId="22"/>
    <tableColumn id="5" xr3:uid="{3D4870A5-8109-4EC6-9266-98F3099C70FD}" name="Product" dataDxfId="21"/>
    <tableColumn id="6" xr3:uid="{80FB33DA-F174-4FD8-B523-6D8B92E5079C}" name="Code" dataDxfId="20"/>
    <tableColumn id="7" xr3:uid="{604AEDD4-FF6F-4F1F-A046-E2796BDF4F72}" name="Quantity" dataDxfId="19"/>
    <tableColumn id="8" xr3:uid="{777127E5-533D-4062-9C94-83F3CA154D33}" name="Sales Amount" dataDxfId="18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3F5C-5F5C-4C6A-8AAC-8A480A71B6E3}">
  <dimension ref="A1:J21"/>
  <sheetViews>
    <sheetView topLeftCell="A2" workbookViewId="0">
      <selection activeCell="H10" sqref="H10"/>
    </sheetView>
  </sheetViews>
  <sheetFormatPr defaultRowHeight="14.4" x14ac:dyDescent="0.3"/>
  <cols>
    <col min="1" max="1" width="10.77734375" bestFit="1" customWidth="1"/>
    <col min="2" max="2" width="15.44140625" customWidth="1"/>
    <col min="3" max="4" width="22.21875" customWidth="1"/>
    <col min="5" max="5" width="13.21875" customWidth="1"/>
    <col min="6" max="6" width="14.33203125" customWidth="1"/>
    <col min="7" max="7" width="13.77734375" customWidth="1"/>
    <col min="8" max="8" width="16" bestFit="1" customWidth="1"/>
    <col min="9" max="9" width="10.5546875" bestFit="1" customWidth="1"/>
    <col min="10" max="10" width="15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>
        <v>1001</v>
      </c>
      <c r="B2" s="1">
        <v>45296</v>
      </c>
      <c r="C2" t="s">
        <v>6</v>
      </c>
      <c r="D2" t="s">
        <v>7</v>
      </c>
      <c r="E2" t="s">
        <v>8</v>
      </c>
      <c r="F2" t="s">
        <v>9</v>
      </c>
    </row>
    <row r="3" spans="1:10" x14ac:dyDescent="0.3">
      <c r="A3">
        <v>1002</v>
      </c>
      <c r="B3" s="1">
        <v>45296</v>
      </c>
      <c r="C3" t="s">
        <v>10</v>
      </c>
      <c r="D3" t="s">
        <v>11</v>
      </c>
      <c r="E3" t="s">
        <v>8</v>
      </c>
      <c r="F3" t="s">
        <v>12</v>
      </c>
    </row>
    <row r="4" spans="1:10" x14ac:dyDescent="0.3">
      <c r="A4">
        <v>1003</v>
      </c>
      <c r="B4" s="1">
        <v>45297</v>
      </c>
      <c r="C4" t="s">
        <v>13</v>
      </c>
      <c r="D4" t="s">
        <v>14</v>
      </c>
      <c r="E4" t="s">
        <v>15</v>
      </c>
      <c r="F4" t="s">
        <v>16</v>
      </c>
    </row>
    <row r="5" spans="1:10" x14ac:dyDescent="0.3">
      <c r="A5">
        <v>1004</v>
      </c>
      <c r="B5" s="1">
        <v>45297</v>
      </c>
      <c r="C5" t="s">
        <v>17</v>
      </c>
      <c r="D5" t="s">
        <v>18</v>
      </c>
      <c r="E5" t="s">
        <v>19</v>
      </c>
      <c r="F5" t="s">
        <v>20</v>
      </c>
    </row>
    <row r="6" spans="1:10" x14ac:dyDescent="0.3">
      <c r="A6">
        <v>1005</v>
      </c>
      <c r="B6" s="1">
        <v>45298</v>
      </c>
      <c r="C6" t="s">
        <v>21</v>
      </c>
      <c r="D6" t="s">
        <v>22</v>
      </c>
      <c r="E6" t="s">
        <v>23</v>
      </c>
      <c r="F6" t="s">
        <v>24</v>
      </c>
    </row>
    <row r="7" spans="1:10" x14ac:dyDescent="0.3">
      <c r="A7">
        <v>1006</v>
      </c>
      <c r="B7" s="1">
        <v>45298</v>
      </c>
      <c r="C7" t="s">
        <v>21</v>
      </c>
      <c r="D7" t="s">
        <v>25</v>
      </c>
      <c r="E7" t="s">
        <v>23</v>
      </c>
      <c r="F7" t="s">
        <v>26</v>
      </c>
    </row>
    <row r="8" spans="1:10" x14ac:dyDescent="0.3">
      <c r="A8">
        <v>1007</v>
      </c>
      <c r="B8" s="1">
        <v>45299</v>
      </c>
      <c r="C8" t="s">
        <v>6</v>
      </c>
      <c r="D8" t="s">
        <v>7</v>
      </c>
      <c r="E8" t="s">
        <v>8</v>
      </c>
      <c r="F8" t="s">
        <v>27</v>
      </c>
    </row>
    <row r="9" spans="1:10" x14ac:dyDescent="0.3">
      <c r="A9">
        <v>1008</v>
      </c>
      <c r="B9" s="1">
        <v>45300</v>
      </c>
      <c r="C9" t="s">
        <v>28</v>
      </c>
      <c r="D9" t="s">
        <v>29</v>
      </c>
      <c r="E9" t="s">
        <v>30</v>
      </c>
      <c r="F9" t="s">
        <v>31</v>
      </c>
    </row>
    <row r="10" spans="1:10" x14ac:dyDescent="0.3">
      <c r="A10">
        <v>1009</v>
      </c>
      <c r="B10" s="1">
        <v>45301</v>
      </c>
      <c r="C10" t="s">
        <v>13</v>
      </c>
      <c r="D10" t="s">
        <v>32</v>
      </c>
      <c r="E10" t="s">
        <v>19</v>
      </c>
      <c r="F10" t="s">
        <v>33</v>
      </c>
    </row>
    <row r="11" spans="1:10" x14ac:dyDescent="0.3">
      <c r="A11">
        <v>1010</v>
      </c>
      <c r="B11" s="1">
        <v>45301</v>
      </c>
      <c r="C11" t="s">
        <v>13</v>
      </c>
      <c r="D11" t="s">
        <v>18</v>
      </c>
      <c r="E11" t="s">
        <v>19</v>
      </c>
      <c r="F11" t="s">
        <v>20</v>
      </c>
    </row>
    <row r="13" spans="1:10" ht="21" customHeight="1" x14ac:dyDescent="0.3">
      <c r="A13" s="24" t="s">
        <v>50</v>
      </c>
      <c r="B13" s="24"/>
      <c r="C13" s="24"/>
      <c r="D13" s="24"/>
      <c r="E13" s="24"/>
      <c r="F13" s="24"/>
      <c r="G13" s="24"/>
      <c r="H13" s="24"/>
      <c r="I13" s="24"/>
      <c r="J13" s="24"/>
    </row>
    <row r="14" spans="1:10" x14ac:dyDescent="0.3">
      <c r="A14" t="s">
        <v>44</v>
      </c>
    </row>
    <row r="15" spans="1:10" x14ac:dyDescent="0.3">
      <c r="A15" t="s">
        <v>45</v>
      </c>
    </row>
    <row r="16" spans="1:10" x14ac:dyDescent="0.3">
      <c r="A16" t="s">
        <v>46</v>
      </c>
    </row>
    <row r="17" spans="1:1" x14ac:dyDescent="0.3">
      <c r="A17" t="s">
        <v>48</v>
      </c>
    </row>
    <row r="18" spans="1:1" x14ac:dyDescent="0.3">
      <c r="A18" t="s">
        <v>47</v>
      </c>
    </row>
    <row r="20" spans="1:1" x14ac:dyDescent="0.3">
      <c r="A20" t="s">
        <v>49</v>
      </c>
    </row>
    <row r="21" spans="1:1" x14ac:dyDescent="0.3">
      <c r="A21" t="s">
        <v>51</v>
      </c>
    </row>
  </sheetData>
  <mergeCells count="1">
    <mergeCell ref="A13:J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3F38-014F-4776-97A3-AFD38E15EDC6}">
  <dimension ref="A1:M11"/>
  <sheetViews>
    <sheetView zoomScaleNormal="100" workbookViewId="0">
      <selection activeCell="G25" sqref="G25"/>
    </sheetView>
  </sheetViews>
  <sheetFormatPr defaultRowHeight="14.4" x14ac:dyDescent="0.3"/>
  <cols>
    <col min="1" max="1" width="11" customWidth="1"/>
    <col min="2" max="2" width="18.21875" customWidth="1"/>
    <col min="3" max="3" width="19.21875" customWidth="1"/>
    <col min="4" max="4" width="15.33203125" customWidth="1"/>
    <col min="5" max="6" width="20" customWidth="1"/>
    <col min="7" max="7" width="12.6640625" customWidth="1"/>
    <col min="8" max="8" width="19.88671875" customWidth="1"/>
    <col min="9" max="10" width="15.33203125" customWidth="1"/>
    <col min="11" max="11" width="15.6640625" customWidth="1"/>
    <col min="12" max="12" width="13.21875" style="37" customWidth="1"/>
    <col min="13" max="13" width="2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41</v>
      </c>
      <c r="E1" s="2" t="s">
        <v>42</v>
      </c>
      <c r="F1" s="2" t="s">
        <v>34</v>
      </c>
      <c r="G1" s="2" t="s">
        <v>43</v>
      </c>
      <c r="H1" s="2" t="s">
        <v>54</v>
      </c>
      <c r="I1" s="2" t="s">
        <v>4</v>
      </c>
      <c r="J1" s="2" t="s">
        <v>52</v>
      </c>
      <c r="K1" t="s">
        <v>5</v>
      </c>
      <c r="L1" s="37" t="s">
        <v>57</v>
      </c>
      <c r="M1" t="s">
        <v>53</v>
      </c>
    </row>
    <row r="2" spans="1:13" x14ac:dyDescent="0.3">
      <c r="A2" s="2">
        <v>1001</v>
      </c>
      <c r="B2" s="3">
        <v>45296</v>
      </c>
      <c r="C2" s="2" t="s">
        <v>6</v>
      </c>
      <c r="D2" s="2" t="s">
        <v>35</v>
      </c>
      <c r="E2" s="2" t="s">
        <v>7</v>
      </c>
      <c r="F2" s="2" t="str">
        <f t="shared" ref="F2:F11" si="0">PROPER(E2)</f>
        <v>Product A</v>
      </c>
      <c r="G2" s="4">
        <v>1</v>
      </c>
      <c r="H2" s="2" t="str">
        <f t="shared" ref="H2:H11" si="1">PROPER(LEFT(E2,7)&amp;" "&amp;RIGHT(E2,1))</f>
        <v>Product A</v>
      </c>
      <c r="I2" s="2">
        <v>10</v>
      </c>
      <c r="J2" s="2">
        <f t="shared" ref="J2:J3" si="2">VALUE(I2)</f>
        <v>10</v>
      </c>
      <c r="K2" t="s">
        <v>9</v>
      </c>
      <c r="L2" s="37" t="str">
        <f>CLEAN(Table001__Page_13[[#This Row],[Sales_Amount]])</f>
        <v>$1,200</v>
      </c>
      <c r="M2" s="2" t="str">
        <f t="shared" ref="M2:M11" si="3">SUBSTITUTE(SUBSTITUTE(SUBSTITUTE(SUBSTITUTE(K2,"$",""),",",""),"~",""),"Eight Hundred","800")</f>
        <v>1200</v>
      </c>
    </row>
    <row r="3" spans="1:13" x14ac:dyDescent="0.3">
      <c r="A3" s="2">
        <v>1002</v>
      </c>
      <c r="B3" s="3">
        <v>45296</v>
      </c>
      <c r="C3" s="2" t="s">
        <v>10</v>
      </c>
      <c r="D3" s="2" t="s">
        <v>35</v>
      </c>
      <c r="E3" s="2" t="s">
        <v>55</v>
      </c>
      <c r="F3" s="2" t="str">
        <f t="shared" si="0"/>
        <v>Product A</v>
      </c>
      <c r="G3" s="4">
        <v>1</v>
      </c>
      <c r="H3" s="2" t="str">
        <f t="shared" si="1"/>
        <v>Product A</v>
      </c>
      <c r="I3" s="2" t="s">
        <v>8</v>
      </c>
      <c r="J3" s="2">
        <f t="shared" si="2"/>
        <v>10</v>
      </c>
      <c r="K3" t="s">
        <v>12</v>
      </c>
      <c r="L3" s="37" t="str">
        <f>CLEAN(Table001__Page_13[[#This Row],[Sales_Amount]])</f>
        <v>1200$</v>
      </c>
      <c r="M3" s="2" t="str">
        <f t="shared" si="3"/>
        <v>1200</v>
      </c>
    </row>
    <row r="4" spans="1:13" x14ac:dyDescent="0.3">
      <c r="A4" s="2">
        <v>1003</v>
      </c>
      <c r="B4" s="3">
        <v>45297</v>
      </c>
      <c r="C4" s="2" t="s">
        <v>13</v>
      </c>
      <c r="D4" s="2" t="s">
        <v>37</v>
      </c>
      <c r="E4" s="2" t="s">
        <v>18</v>
      </c>
      <c r="F4" s="2" t="str">
        <f t="shared" si="0"/>
        <v>Product B</v>
      </c>
      <c r="G4" s="4">
        <v>2</v>
      </c>
      <c r="H4" s="2" t="str">
        <f t="shared" si="1"/>
        <v>Product B</v>
      </c>
      <c r="I4" s="2" t="s">
        <v>15</v>
      </c>
      <c r="J4" s="2">
        <f>IF(LOWER(I4)="five",5,I4)</f>
        <v>5</v>
      </c>
      <c r="K4" s="5">
        <v>800</v>
      </c>
      <c r="L4" s="38" t="str">
        <f>CLEAN(Table001__Page_13[[#This Row],[Sales_Amount]])</f>
        <v>800</v>
      </c>
      <c r="M4" s="2" t="str">
        <f t="shared" si="3"/>
        <v>800</v>
      </c>
    </row>
    <row r="5" spans="1:13" x14ac:dyDescent="0.3">
      <c r="A5" s="2">
        <v>1004</v>
      </c>
      <c r="B5" s="3">
        <v>45297</v>
      </c>
      <c r="C5" s="2" t="s">
        <v>17</v>
      </c>
      <c r="D5" s="2" t="s">
        <v>37</v>
      </c>
      <c r="E5" s="2" t="s">
        <v>18</v>
      </c>
      <c r="F5" s="2" t="str">
        <f t="shared" si="0"/>
        <v>Product B</v>
      </c>
      <c r="G5" s="4">
        <v>2</v>
      </c>
      <c r="H5" s="2" t="str">
        <f t="shared" si="1"/>
        <v>Product B</v>
      </c>
      <c r="I5" s="2" t="s">
        <v>19</v>
      </c>
      <c r="J5" s="2" t="s">
        <v>19</v>
      </c>
      <c r="K5" t="s">
        <v>20</v>
      </c>
      <c r="L5" s="37" t="str">
        <f>CLEAN(Table001__Page_13[[#This Row],[Sales_Amount]])</f>
        <v>800</v>
      </c>
      <c r="M5" s="2" t="str">
        <f t="shared" si="3"/>
        <v>800</v>
      </c>
    </row>
    <row r="6" spans="1:13" x14ac:dyDescent="0.3">
      <c r="A6" s="2">
        <v>1005</v>
      </c>
      <c r="B6" s="3">
        <v>45298</v>
      </c>
      <c r="C6" s="2" t="s">
        <v>21</v>
      </c>
      <c r="D6" s="2" t="s">
        <v>38</v>
      </c>
      <c r="E6" s="2" t="s">
        <v>39</v>
      </c>
      <c r="F6" s="2" t="str">
        <f t="shared" si="0"/>
        <v>Productc</v>
      </c>
      <c r="G6" s="4">
        <v>3</v>
      </c>
      <c r="H6" s="2" t="str">
        <f t="shared" si="1"/>
        <v>Product C</v>
      </c>
      <c r="I6" s="2" t="s">
        <v>23</v>
      </c>
      <c r="J6" s="2" t="s">
        <v>23</v>
      </c>
      <c r="K6" t="s">
        <v>24</v>
      </c>
      <c r="L6" s="37" t="str">
        <f>CLEAN(Table001__Page_13[[#This Row],[Sales_Amount]])</f>
        <v>~900</v>
      </c>
      <c r="M6" s="2" t="str">
        <f t="shared" si="3"/>
        <v>900</v>
      </c>
    </row>
    <row r="7" spans="1:13" x14ac:dyDescent="0.3">
      <c r="A7" s="2">
        <v>1006</v>
      </c>
      <c r="B7" s="3">
        <v>45298</v>
      </c>
      <c r="C7" s="2" t="s">
        <v>21</v>
      </c>
      <c r="D7" s="2" t="s">
        <v>38</v>
      </c>
      <c r="E7" s="2" t="s">
        <v>39</v>
      </c>
      <c r="F7" s="2" t="str">
        <f t="shared" si="0"/>
        <v>Productc</v>
      </c>
      <c r="G7" s="4">
        <v>3</v>
      </c>
      <c r="H7" s="2" t="str">
        <f t="shared" si="1"/>
        <v>Product C</v>
      </c>
      <c r="I7" s="2" t="s">
        <v>23</v>
      </c>
      <c r="J7" s="2" t="s">
        <v>23</v>
      </c>
      <c r="K7" t="s">
        <v>26</v>
      </c>
      <c r="L7" s="37" t="str">
        <f>CLEAN(Table001__Page_13[[#This Row],[Sales_Amount]])</f>
        <v>900</v>
      </c>
      <c r="M7" s="2" t="str">
        <f t="shared" si="3"/>
        <v>900</v>
      </c>
    </row>
    <row r="8" spans="1:13" x14ac:dyDescent="0.3">
      <c r="A8" s="2">
        <v>1007</v>
      </c>
      <c r="B8" s="3">
        <v>45299</v>
      </c>
      <c r="C8" s="2" t="s">
        <v>6</v>
      </c>
      <c r="D8" s="2" t="s">
        <v>35</v>
      </c>
      <c r="E8" s="2" t="s">
        <v>36</v>
      </c>
      <c r="F8" s="2" t="str">
        <f t="shared" si="0"/>
        <v>Producta</v>
      </c>
      <c r="G8" s="4">
        <v>1</v>
      </c>
      <c r="H8" s="2" t="str">
        <f t="shared" si="1"/>
        <v>Product A</v>
      </c>
      <c r="I8" s="2" t="s">
        <v>8</v>
      </c>
      <c r="J8" s="2" t="s">
        <v>8</v>
      </c>
      <c r="K8" t="s">
        <v>27</v>
      </c>
      <c r="L8" s="37" t="str">
        <f>CLEAN(Table001__Page_13[[#This Row],[Sales_Amount]])</f>
        <v>1,200</v>
      </c>
      <c r="M8" s="2" t="str">
        <f t="shared" si="3"/>
        <v>1200</v>
      </c>
    </row>
    <row r="9" spans="1:13" x14ac:dyDescent="0.3">
      <c r="A9" s="2">
        <v>1008</v>
      </c>
      <c r="B9" s="3">
        <v>45300</v>
      </c>
      <c r="C9" s="2" t="s">
        <v>28</v>
      </c>
      <c r="D9" s="2" t="s">
        <v>35</v>
      </c>
      <c r="E9" s="2" t="s">
        <v>40</v>
      </c>
      <c r="F9" s="2" t="str">
        <f t="shared" si="0"/>
        <v>Productd</v>
      </c>
      <c r="G9" s="4">
        <v>4</v>
      </c>
      <c r="H9" s="2" t="str">
        <f t="shared" si="1"/>
        <v>Product D</v>
      </c>
      <c r="I9" s="2" t="s">
        <v>30</v>
      </c>
      <c r="J9" s="2">
        <f>IF(LOWER(I9)="N/A",0,I9)</f>
        <v>0</v>
      </c>
      <c r="K9">
        <v>500</v>
      </c>
      <c r="L9" s="37" t="str">
        <f>CLEAN(Table001__Page_13[[#This Row],[Sales_Amount]])</f>
        <v>500</v>
      </c>
      <c r="M9" s="2" t="str">
        <f t="shared" si="3"/>
        <v>500</v>
      </c>
    </row>
    <row r="10" spans="1:13" x14ac:dyDescent="0.3">
      <c r="A10" s="2">
        <v>1009</v>
      </c>
      <c r="B10" s="3">
        <v>45301</v>
      </c>
      <c r="C10" s="2" t="s">
        <v>13</v>
      </c>
      <c r="D10" s="2" t="s">
        <v>37</v>
      </c>
      <c r="E10" s="2" t="s">
        <v>14</v>
      </c>
      <c r="F10" s="2" t="str">
        <f t="shared" si="0"/>
        <v>Productb</v>
      </c>
      <c r="G10" s="4">
        <v>2</v>
      </c>
      <c r="H10" s="2" t="str">
        <f t="shared" si="1"/>
        <v>Product B</v>
      </c>
      <c r="I10" s="2" t="s">
        <v>19</v>
      </c>
      <c r="J10" s="2">
        <v>5</v>
      </c>
      <c r="K10" s="39" t="s">
        <v>33</v>
      </c>
      <c r="L10" s="37" t="str">
        <f>CLEAN(Table001__Page_13[[#This Row],[Sales_Amount]])</f>
        <v>Eight Hundred</v>
      </c>
      <c r="M10" s="2" t="str">
        <f t="shared" si="3"/>
        <v>800</v>
      </c>
    </row>
    <row r="11" spans="1:13" x14ac:dyDescent="0.3">
      <c r="A11" s="2">
        <v>1010</v>
      </c>
      <c r="B11" s="3">
        <v>45301</v>
      </c>
      <c r="C11" s="2" t="s">
        <v>13</v>
      </c>
      <c r="D11" s="2" t="s">
        <v>37</v>
      </c>
      <c r="E11" s="2" t="s">
        <v>14</v>
      </c>
      <c r="F11" s="2" t="str">
        <f t="shared" si="0"/>
        <v>Productb</v>
      </c>
      <c r="G11" s="4">
        <v>2</v>
      </c>
      <c r="H11" s="2" t="str">
        <f t="shared" si="1"/>
        <v>Product B</v>
      </c>
      <c r="I11" s="2" t="s">
        <v>19</v>
      </c>
      <c r="J11" s="2">
        <v>5</v>
      </c>
      <c r="K11" t="s">
        <v>20</v>
      </c>
      <c r="L11" s="37" t="str">
        <f>CLEAN(Table001__Page_13[[#This Row],[Sales_Amount]])</f>
        <v>800</v>
      </c>
      <c r="M11" s="2" t="str">
        <f t="shared" si="3"/>
        <v>800</v>
      </c>
    </row>
  </sheetData>
  <pageMargins left="0.7" right="0.7" top="0.75" bottom="0.75" header="0.3" footer="0.3"/>
  <ignoredErrors>
    <ignoredError sqref="J4 J9:J11" calculatedColumn="1"/>
    <ignoredError sqref="J5:J8" numberStoredAsText="1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1B89-D488-493F-93FB-FA54B5EEAFCB}">
  <dimension ref="A1:K32"/>
  <sheetViews>
    <sheetView tabSelected="1" workbookViewId="0">
      <selection activeCell="G20" sqref="G20"/>
    </sheetView>
  </sheetViews>
  <sheetFormatPr defaultRowHeight="14.4" x14ac:dyDescent="0.3"/>
  <cols>
    <col min="1" max="1" width="13" customWidth="1"/>
    <col min="2" max="2" width="16.88671875" customWidth="1"/>
    <col min="3" max="3" width="25.21875" customWidth="1"/>
    <col min="4" max="4" width="13.5546875" customWidth="1"/>
    <col min="5" max="5" width="19.6640625" customWidth="1"/>
    <col min="6" max="6" width="11.5546875" customWidth="1"/>
    <col min="7" max="7" width="14.109375" customWidth="1"/>
    <col min="8" max="8" width="16.6640625" style="2" customWidth="1"/>
    <col min="9" max="9" width="16.88671875" customWidth="1"/>
    <col min="10" max="10" width="23.88671875" customWidth="1"/>
  </cols>
  <sheetData>
    <row r="1" spans="1:11" x14ac:dyDescent="0.3">
      <c r="A1" s="27" t="s">
        <v>0</v>
      </c>
      <c r="B1" s="28" t="s">
        <v>1</v>
      </c>
      <c r="C1" s="28" t="s">
        <v>2</v>
      </c>
      <c r="D1" s="28" t="s">
        <v>41</v>
      </c>
      <c r="E1" s="28" t="s">
        <v>64</v>
      </c>
      <c r="F1" s="28" t="s">
        <v>43</v>
      </c>
      <c r="G1" s="28" t="s">
        <v>4</v>
      </c>
      <c r="H1" s="29" t="s">
        <v>56</v>
      </c>
      <c r="J1" s="34"/>
      <c r="K1" s="34"/>
    </row>
    <row r="2" spans="1:11" x14ac:dyDescent="0.3">
      <c r="A2" s="14">
        <v>1001</v>
      </c>
      <c r="B2" s="15">
        <v>45296</v>
      </c>
      <c r="C2" s="16" t="s">
        <v>6</v>
      </c>
      <c r="D2" s="16" t="s">
        <v>35</v>
      </c>
      <c r="E2" s="16" t="s">
        <v>7</v>
      </c>
      <c r="F2" s="25">
        <v>1</v>
      </c>
      <c r="G2" s="16">
        <v>10</v>
      </c>
      <c r="H2" s="26">
        <v>1200</v>
      </c>
      <c r="J2" s="32"/>
      <c r="K2" s="32"/>
    </row>
    <row r="3" spans="1:11" x14ac:dyDescent="0.3">
      <c r="A3" s="14">
        <v>1002</v>
      </c>
      <c r="B3" s="15">
        <v>45296</v>
      </c>
      <c r="C3" s="16" t="s">
        <v>10</v>
      </c>
      <c r="D3" s="16" t="s">
        <v>35</v>
      </c>
      <c r="E3" s="16" t="s">
        <v>7</v>
      </c>
      <c r="F3" s="25">
        <v>1</v>
      </c>
      <c r="G3" s="16">
        <v>10</v>
      </c>
      <c r="H3" s="26">
        <v>1200</v>
      </c>
      <c r="J3" s="32"/>
      <c r="K3" s="32">
        <v>910</v>
      </c>
    </row>
    <row r="4" spans="1:11" x14ac:dyDescent="0.3">
      <c r="A4" s="14">
        <v>1003</v>
      </c>
      <c r="B4" s="15">
        <v>45297</v>
      </c>
      <c r="C4" s="16" t="s">
        <v>13</v>
      </c>
      <c r="D4" s="16" t="s">
        <v>37</v>
      </c>
      <c r="E4" s="16" t="s">
        <v>18</v>
      </c>
      <c r="F4" s="25">
        <v>2</v>
      </c>
      <c r="G4" s="16">
        <v>5</v>
      </c>
      <c r="H4" s="26">
        <v>800</v>
      </c>
      <c r="J4" s="32"/>
      <c r="K4" s="32">
        <v>72.188026092359038</v>
      </c>
    </row>
    <row r="5" spans="1:11" x14ac:dyDescent="0.3">
      <c r="A5" s="14">
        <v>1004</v>
      </c>
      <c r="B5" s="15">
        <v>45297</v>
      </c>
      <c r="C5" s="16" t="s">
        <v>17</v>
      </c>
      <c r="D5" s="16" t="s">
        <v>37</v>
      </c>
      <c r="E5" s="16" t="s">
        <v>18</v>
      </c>
      <c r="F5" s="25">
        <v>2</v>
      </c>
      <c r="G5" s="16">
        <v>5</v>
      </c>
      <c r="H5" s="26">
        <v>800</v>
      </c>
      <c r="J5" s="32"/>
      <c r="K5" s="32">
        <v>850</v>
      </c>
    </row>
    <row r="6" spans="1:11" x14ac:dyDescent="0.3">
      <c r="A6" s="14">
        <v>1005</v>
      </c>
      <c r="B6" s="15">
        <v>45298</v>
      </c>
      <c r="C6" s="16" t="s">
        <v>21</v>
      </c>
      <c r="D6" s="16" t="s">
        <v>38</v>
      </c>
      <c r="E6" s="16" t="s">
        <v>25</v>
      </c>
      <c r="F6" s="25">
        <v>3</v>
      </c>
      <c r="G6" s="16">
        <v>7</v>
      </c>
      <c r="H6" s="26">
        <v>900</v>
      </c>
      <c r="J6" s="32"/>
      <c r="K6" s="32">
        <v>800</v>
      </c>
    </row>
    <row r="7" spans="1:11" x14ac:dyDescent="0.3">
      <c r="A7" s="14">
        <v>1006</v>
      </c>
      <c r="B7" s="15">
        <v>45298</v>
      </c>
      <c r="C7" s="16" t="s">
        <v>21</v>
      </c>
      <c r="D7" s="16" t="s">
        <v>38</v>
      </c>
      <c r="E7" s="16" t="s">
        <v>25</v>
      </c>
      <c r="F7" s="25">
        <v>3</v>
      </c>
      <c r="G7" s="16">
        <v>7</v>
      </c>
      <c r="H7" s="26">
        <v>900</v>
      </c>
      <c r="J7" s="32"/>
      <c r="K7" s="32">
        <v>228.27858224351908</v>
      </c>
    </row>
    <row r="8" spans="1:11" x14ac:dyDescent="0.3">
      <c r="A8" s="14">
        <v>1007</v>
      </c>
      <c r="B8" s="15">
        <v>45299</v>
      </c>
      <c r="C8" s="16" t="s">
        <v>6</v>
      </c>
      <c r="D8" s="16" t="s">
        <v>35</v>
      </c>
      <c r="E8" s="16" t="s">
        <v>7</v>
      </c>
      <c r="F8" s="25">
        <v>1</v>
      </c>
      <c r="G8" s="16">
        <v>10</v>
      </c>
      <c r="H8" s="26">
        <v>1200</v>
      </c>
      <c r="J8" s="32"/>
      <c r="K8" s="32">
        <v>52111.111111111109</v>
      </c>
    </row>
    <row r="9" spans="1:11" x14ac:dyDescent="0.3">
      <c r="A9" s="14">
        <v>1008</v>
      </c>
      <c r="B9" s="15">
        <v>45300</v>
      </c>
      <c r="C9" s="16" t="s">
        <v>28</v>
      </c>
      <c r="D9" s="16" t="s">
        <v>35</v>
      </c>
      <c r="E9" s="16" t="s">
        <v>29</v>
      </c>
      <c r="F9" s="25">
        <v>4</v>
      </c>
      <c r="G9" s="16">
        <v>0</v>
      </c>
      <c r="H9" s="26">
        <v>500</v>
      </c>
      <c r="J9" s="32"/>
      <c r="K9" s="32">
        <v>-0.31575727385439034</v>
      </c>
    </row>
    <row r="10" spans="1:11" x14ac:dyDescent="0.3">
      <c r="A10" s="14">
        <v>1009</v>
      </c>
      <c r="B10" s="15">
        <v>45301</v>
      </c>
      <c r="C10" s="16" t="s">
        <v>13</v>
      </c>
      <c r="D10" s="16" t="s">
        <v>37</v>
      </c>
      <c r="E10" s="16" t="s">
        <v>18</v>
      </c>
      <c r="F10" s="25">
        <v>2</v>
      </c>
      <c r="G10" s="16">
        <v>5</v>
      </c>
      <c r="H10" s="26">
        <v>800</v>
      </c>
      <c r="J10" s="32"/>
      <c r="K10" s="32">
        <v>-1.2609438828968545E-2</v>
      </c>
    </row>
    <row r="11" spans="1:11" x14ac:dyDescent="0.3">
      <c r="A11" s="17">
        <v>1010</v>
      </c>
      <c r="B11" s="18">
        <v>45301</v>
      </c>
      <c r="C11" s="19" t="s">
        <v>13</v>
      </c>
      <c r="D11" s="19" t="s">
        <v>37</v>
      </c>
      <c r="E11" s="19" t="s">
        <v>18</v>
      </c>
      <c r="F11" s="30">
        <v>2</v>
      </c>
      <c r="G11" s="19">
        <v>5</v>
      </c>
      <c r="H11" s="31">
        <v>800</v>
      </c>
      <c r="J11" s="32"/>
      <c r="K11" s="32">
        <v>700</v>
      </c>
    </row>
    <row r="12" spans="1:11" x14ac:dyDescent="0.3">
      <c r="J12" s="32" t="s">
        <v>58</v>
      </c>
      <c r="K12" s="32">
        <v>500</v>
      </c>
    </row>
    <row r="13" spans="1:11" x14ac:dyDescent="0.3">
      <c r="J13" s="32" t="s">
        <v>59</v>
      </c>
      <c r="K13" s="32">
        <v>1200</v>
      </c>
    </row>
    <row r="14" spans="1:11" x14ac:dyDescent="0.3">
      <c r="J14" s="32" t="s">
        <v>60</v>
      </c>
      <c r="K14" s="32">
        <v>9100</v>
      </c>
    </row>
    <row r="15" spans="1:11" ht="15" thickBot="1" x14ac:dyDescent="0.35">
      <c r="A15" t="s">
        <v>75</v>
      </c>
      <c r="J15" s="33" t="s">
        <v>61</v>
      </c>
      <c r="K15" s="33">
        <v>10</v>
      </c>
    </row>
    <row r="16" spans="1:11" x14ac:dyDescent="0.3">
      <c r="A16" t="s">
        <v>62</v>
      </c>
      <c r="B16" t="s">
        <v>70</v>
      </c>
      <c r="J16" s="32"/>
      <c r="K16" s="32"/>
    </row>
    <row r="17" spans="1:11" x14ac:dyDescent="0.3">
      <c r="B17" t="s">
        <v>69</v>
      </c>
      <c r="C17" t="s">
        <v>71</v>
      </c>
      <c r="J17" s="32"/>
      <c r="K17" s="32"/>
    </row>
    <row r="18" spans="1:11" x14ac:dyDescent="0.3">
      <c r="A18" t="s">
        <v>68</v>
      </c>
      <c r="B18" s="36" t="s">
        <v>63</v>
      </c>
      <c r="C18" s="36"/>
      <c r="D18" s="36"/>
      <c r="E18" s="36"/>
      <c r="F18" s="36"/>
      <c r="G18" s="36"/>
      <c r="J18" s="32"/>
      <c r="K18" s="32"/>
    </row>
    <row r="19" spans="1:11" x14ac:dyDescent="0.3">
      <c r="C19" t="s">
        <v>65</v>
      </c>
      <c r="J19" s="32"/>
      <c r="K19" s="32"/>
    </row>
    <row r="20" spans="1:11" x14ac:dyDescent="0.3">
      <c r="C20" t="s">
        <v>66</v>
      </c>
      <c r="J20" s="32"/>
      <c r="K20" s="32"/>
    </row>
    <row r="21" spans="1:11" x14ac:dyDescent="0.3">
      <c r="J21" s="32"/>
      <c r="K21" s="32"/>
    </row>
    <row r="22" spans="1:11" x14ac:dyDescent="0.3">
      <c r="B22" t="s">
        <v>69</v>
      </c>
      <c r="C22" t="s">
        <v>67</v>
      </c>
      <c r="J22" s="32"/>
      <c r="K22" s="32"/>
    </row>
    <row r="23" spans="1:11" x14ac:dyDescent="0.3">
      <c r="J23" s="32"/>
      <c r="K23" s="32"/>
    </row>
    <row r="24" spans="1:11" x14ac:dyDescent="0.3">
      <c r="A24" t="s">
        <v>72</v>
      </c>
      <c r="B24" t="s">
        <v>73</v>
      </c>
      <c r="J24" s="35"/>
      <c r="K24" s="35"/>
    </row>
    <row r="25" spans="1:11" x14ac:dyDescent="0.3">
      <c r="B25" t="s">
        <v>74</v>
      </c>
    </row>
    <row r="31" spans="1:11" x14ac:dyDescent="0.3">
      <c r="A31" t="s">
        <v>76</v>
      </c>
      <c r="B31" s="24" t="s">
        <v>77</v>
      </c>
      <c r="C31" s="24"/>
      <c r="D31" s="24"/>
      <c r="E31" s="24"/>
      <c r="F31" s="24"/>
      <c r="G31" s="24"/>
    </row>
    <row r="32" spans="1:11" ht="36" customHeight="1" x14ac:dyDescent="0.3">
      <c r="B32" s="24"/>
      <c r="C32" s="24"/>
      <c r="D32" s="24"/>
      <c r="E32" s="24"/>
      <c r="F32" s="24"/>
      <c r="G32" s="24"/>
    </row>
  </sheetData>
  <mergeCells count="2">
    <mergeCell ref="B18:G18"/>
    <mergeCell ref="B31:G3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9175-FA56-461C-80A9-790ADAFFB4D3}">
  <dimension ref="A1:H25"/>
  <sheetViews>
    <sheetView workbookViewId="0">
      <selection activeCell="M33" sqref="M33"/>
    </sheetView>
  </sheetViews>
  <sheetFormatPr defaultRowHeight="14.4" x14ac:dyDescent="0.3"/>
  <cols>
    <col min="1" max="1" width="10.44140625" customWidth="1"/>
    <col min="2" max="2" width="16.6640625" customWidth="1"/>
    <col min="3" max="3" width="21.6640625" customWidth="1"/>
    <col min="5" max="5" width="9.5546875" customWidth="1"/>
    <col min="7" max="7" width="10.21875" customWidth="1"/>
    <col min="8" max="8" width="13.88671875" customWidth="1"/>
  </cols>
  <sheetData>
    <row r="1" spans="1:8" x14ac:dyDescent="0.3">
      <c r="A1" s="6" t="s">
        <v>0</v>
      </c>
      <c r="B1" s="7" t="s">
        <v>1</v>
      </c>
      <c r="C1" s="7" t="s">
        <v>2</v>
      </c>
      <c r="D1" s="7" t="s">
        <v>41</v>
      </c>
      <c r="E1" s="7" t="s">
        <v>54</v>
      </c>
      <c r="F1" s="7" t="s">
        <v>43</v>
      </c>
      <c r="G1" s="7" t="s">
        <v>4</v>
      </c>
      <c r="H1" s="8" t="s">
        <v>56</v>
      </c>
    </row>
    <row r="2" spans="1:8" x14ac:dyDescent="0.3">
      <c r="A2" s="9">
        <v>1001</v>
      </c>
      <c r="B2" s="10">
        <v>45296</v>
      </c>
      <c r="C2" s="11" t="s">
        <v>6</v>
      </c>
      <c r="D2" s="11" t="s">
        <v>35</v>
      </c>
      <c r="E2" s="12" t="s">
        <v>7</v>
      </c>
      <c r="F2" s="13">
        <v>1</v>
      </c>
      <c r="G2" s="11">
        <v>10</v>
      </c>
      <c r="H2" s="22">
        <v>1200</v>
      </c>
    </row>
    <row r="3" spans="1:8" x14ac:dyDescent="0.3">
      <c r="A3" s="14">
        <v>1002</v>
      </c>
      <c r="B3" s="15">
        <v>45296</v>
      </c>
      <c r="C3" s="16" t="s">
        <v>10</v>
      </c>
      <c r="D3" s="16" t="s">
        <v>35</v>
      </c>
      <c r="E3" s="12" t="s">
        <v>7</v>
      </c>
      <c r="F3" s="13">
        <v>1</v>
      </c>
      <c r="G3" s="16">
        <v>10</v>
      </c>
      <c r="H3" s="22">
        <v>1200</v>
      </c>
    </row>
    <row r="4" spans="1:8" x14ac:dyDescent="0.3">
      <c r="A4" s="9">
        <v>1003</v>
      </c>
      <c r="B4" s="10">
        <v>45297</v>
      </c>
      <c r="C4" s="11" t="s">
        <v>13</v>
      </c>
      <c r="D4" s="11" t="s">
        <v>37</v>
      </c>
      <c r="E4" s="12" t="s">
        <v>18</v>
      </c>
      <c r="F4" s="13">
        <v>2</v>
      </c>
      <c r="G4" s="11">
        <v>5</v>
      </c>
      <c r="H4" s="22">
        <v>800</v>
      </c>
    </row>
    <row r="5" spans="1:8" x14ac:dyDescent="0.3">
      <c r="A5" s="14">
        <v>1004</v>
      </c>
      <c r="B5" s="15">
        <v>45297</v>
      </c>
      <c r="C5" s="16" t="s">
        <v>17</v>
      </c>
      <c r="D5" s="16" t="s">
        <v>37</v>
      </c>
      <c r="E5" s="12" t="s">
        <v>18</v>
      </c>
      <c r="F5" s="13">
        <v>2</v>
      </c>
      <c r="G5" s="16">
        <v>5</v>
      </c>
      <c r="H5" s="22">
        <v>800</v>
      </c>
    </row>
    <row r="6" spans="1:8" x14ac:dyDescent="0.3">
      <c r="A6" s="9">
        <v>1005</v>
      </c>
      <c r="B6" s="10">
        <v>45298</v>
      </c>
      <c r="C6" s="11" t="s">
        <v>21</v>
      </c>
      <c r="D6" s="11" t="s">
        <v>38</v>
      </c>
      <c r="E6" s="12" t="s">
        <v>25</v>
      </c>
      <c r="F6" s="13">
        <v>3</v>
      </c>
      <c r="G6" s="11">
        <v>7</v>
      </c>
      <c r="H6" s="22">
        <v>900</v>
      </c>
    </row>
    <row r="7" spans="1:8" x14ac:dyDescent="0.3">
      <c r="A7" s="14">
        <v>1006</v>
      </c>
      <c r="B7" s="15">
        <v>45298</v>
      </c>
      <c r="C7" s="16" t="s">
        <v>21</v>
      </c>
      <c r="D7" s="16" t="s">
        <v>38</v>
      </c>
      <c r="E7" s="12" t="s">
        <v>25</v>
      </c>
      <c r="F7" s="13">
        <v>3</v>
      </c>
      <c r="G7" s="16">
        <v>7</v>
      </c>
      <c r="H7" s="22">
        <v>900</v>
      </c>
    </row>
    <row r="8" spans="1:8" x14ac:dyDescent="0.3">
      <c r="A8" s="9">
        <v>1007</v>
      </c>
      <c r="B8" s="10">
        <v>45299</v>
      </c>
      <c r="C8" s="11" t="s">
        <v>6</v>
      </c>
      <c r="D8" s="11" t="s">
        <v>35</v>
      </c>
      <c r="E8" s="12" t="s">
        <v>7</v>
      </c>
      <c r="F8" s="13">
        <v>1</v>
      </c>
      <c r="G8" s="11">
        <v>10</v>
      </c>
      <c r="H8" s="22">
        <v>1200</v>
      </c>
    </row>
    <row r="9" spans="1:8" x14ac:dyDescent="0.3">
      <c r="A9" s="14">
        <v>1008</v>
      </c>
      <c r="B9" s="15">
        <v>45300</v>
      </c>
      <c r="C9" s="16" t="s">
        <v>28</v>
      </c>
      <c r="D9" s="16" t="s">
        <v>35</v>
      </c>
      <c r="E9" s="12" t="s">
        <v>29</v>
      </c>
      <c r="F9" s="13">
        <v>4</v>
      </c>
      <c r="G9" s="16">
        <v>0</v>
      </c>
      <c r="H9" s="22">
        <v>500</v>
      </c>
    </row>
    <row r="10" spans="1:8" x14ac:dyDescent="0.3">
      <c r="A10" s="9">
        <v>1009</v>
      </c>
      <c r="B10" s="10">
        <v>45301</v>
      </c>
      <c r="C10" s="11" t="s">
        <v>13</v>
      </c>
      <c r="D10" s="11" t="s">
        <v>37</v>
      </c>
      <c r="E10" s="12" t="s">
        <v>18</v>
      </c>
      <c r="F10" s="13">
        <v>2</v>
      </c>
      <c r="G10" s="11">
        <v>5</v>
      </c>
      <c r="H10" s="22">
        <v>800</v>
      </c>
    </row>
    <row r="11" spans="1:8" x14ac:dyDescent="0.3">
      <c r="A11" s="17">
        <v>1010</v>
      </c>
      <c r="B11" s="18">
        <v>45301</v>
      </c>
      <c r="C11" s="19" t="s">
        <v>13</v>
      </c>
      <c r="D11" s="19" t="s">
        <v>37</v>
      </c>
      <c r="E11" s="20" t="s">
        <v>18</v>
      </c>
      <c r="F11" s="21">
        <v>2</v>
      </c>
      <c r="G11" s="19">
        <v>5</v>
      </c>
      <c r="H11" s="23">
        <v>800</v>
      </c>
    </row>
    <row r="15" spans="1:8" x14ac:dyDescent="0.3">
      <c r="A15" s="6" t="s">
        <v>0</v>
      </c>
      <c r="B15" s="7" t="s">
        <v>1</v>
      </c>
      <c r="C15" s="7" t="s">
        <v>2</v>
      </c>
      <c r="D15" s="7" t="s">
        <v>41</v>
      </c>
      <c r="E15" s="7" t="s">
        <v>42</v>
      </c>
      <c r="F15" s="7" t="s">
        <v>43</v>
      </c>
      <c r="G15" s="7" t="s">
        <v>4</v>
      </c>
      <c r="H15" s="8" t="s">
        <v>56</v>
      </c>
    </row>
    <row r="16" spans="1:8" x14ac:dyDescent="0.3">
      <c r="A16" s="9">
        <v>1001</v>
      </c>
      <c r="B16" s="10">
        <v>45296</v>
      </c>
      <c r="C16" s="11" t="s">
        <v>6</v>
      </c>
      <c r="D16" s="11" t="s">
        <v>35</v>
      </c>
      <c r="E16" s="12" t="s">
        <v>7</v>
      </c>
      <c r="F16" s="13">
        <v>1</v>
      </c>
      <c r="G16" s="11">
        <v>10</v>
      </c>
      <c r="H16" s="22">
        <v>1200</v>
      </c>
    </row>
    <row r="17" spans="1:8" x14ac:dyDescent="0.3">
      <c r="A17" s="14">
        <v>1002</v>
      </c>
      <c r="B17" s="15">
        <v>45296</v>
      </c>
      <c r="C17" s="16" t="s">
        <v>10</v>
      </c>
      <c r="D17" s="16" t="s">
        <v>35</v>
      </c>
      <c r="E17" s="12" t="s">
        <v>55</v>
      </c>
      <c r="F17" s="13">
        <v>1</v>
      </c>
      <c r="G17" s="16">
        <v>10</v>
      </c>
      <c r="H17" s="22">
        <v>1200</v>
      </c>
    </row>
    <row r="18" spans="1:8" x14ac:dyDescent="0.3">
      <c r="A18" s="9">
        <v>1003</v>
      </c>
      <c r="B18" s="10">
        <v>45297</v>
      </c>
      <c r="C18" s="11" t="s">
        <v>13</v>
      </c>
      <c r="D18" s="11" t="s">
        <v>37</v>
      </c>
      <c r="E18" s="12" t="s">
        <v>18</v>
      </c>
      <c r="F18" s="13">
        <v>2</v>
      </c>
      <c r="G18" s="11">
        <v>5</v>
      </c>
      <c r="H18" s="22">
        <v>800</v>
      </c>
    </row>
    <row r="19" spans="1:8" x14ac:dyDescent="0.3">
      <c r="A19" s="14">
        <v>1004</v>
      </c>
      <c r="B19" s="15">
        <v>45297</v>
      </c>
      <c r="C19" s="16" t="s">
        <v>17</v>
      </c>
      <c r="D19" s="16" t="s">
        <v>37</v>
      </c>
      <c r="E19" s="12" t="s">
        <v>18</v>
      </c>
      <c r="F19" s="13">
        <v>2</v>
      </c>
      <c r="G19" s="16">
        <v>5</v>
      </c>
      <c r="H19" s="22">
        <v>800</v>
      </c>
    </row>
    <row r="20" spans="1:8" x14ac:dyDescent="0.3">
      <c r="A20" s="9">
        <v>1005</v>
      </c>
      <c r="B20" s="10">
        <v>45298</v>
      </c>
      <c r="C20" s="11" t="s">
        <v>21</v>
      </c>
      <c r="D20" s="11" t="s">
        <v>38</v>
      </c>
      <c r="E20" s="12" t="s">
        <v>25</v>
      </c>
      <c r="F20" s="13">
        <v>3</v>
      </c>
      <c r="G20" s="11">
        <v>7</v>
      </c>
      <c r="H20" s="22">
        <v>900</v>
      </c>
    </row>
    <row r="21" spans="1:8" x14ac:dyDescent="0.3">
      <c r="A21" s="14">
        <v>1006</v>
      </c>
      <c r="B21" s="15">
        <v>45298</v>
      </c>
      <c r="C21" s="16" t="s">
        <v>21</v>
      </c>
      <c r="D21" s="16" t="s">
        <v>38</v>
      </c>
      <c r="E21" s="12" t="s">
        <v>25</v>
      </c>
      <c r="F21" s="13">
        <v>3</v>
      </c>
      <c r="G21" s="16">
        <v>7</v>
      </c>
      <c r="H21" s="22">
        <v>900</v>
      </c>
    </row>
    <row r="22" spans="1:8" x14ac:dyDescent="0.3">
      <c r="A22" s="9">
        <v>1007</v>
      </c>
      <c r="B22" s="10">
        <v>45299</v>
      </c>
      <c r="C22" s="11" t="s">
        <v>6</v>
      </c>
      <c r="D22" s="11" t="s">
        <v>35</v>
      </c>
      <c r="E22" s="12" t="s">
        <v>7</v>
      </c>
      <c r="F22" s="13">
        <v>1</v>
      </c>
      <c r="G22" s="11">
        <v>10</v>
      </c>
      <c r="H22" s="22">
        <v>1200</v>
      </c>
    </row>
    <row r="23" spans="1:8" x14ac:dyDescent="0.3">
      <c r="A23" s="14">
        <v>1008</v>
      </c>
      <c r="B23" s="15">
        <v>45300</v>
      </c>
      <c r="C23" s="16" t="s">
        <v>28</v>
      </c>
      <c r="D23" s="16" t="s">
        <v>35</v>
      </c>
      <c r="E23" s="12" t="s">
        <v>29</v>
      </c>
      <c r="F23" s="13">
        <v>4</v>
      </c>
      <c r="G23" s="16">
        <v>0</v>
      </c>
      <c r="H23" s="22">
        <v>500</v>
      </c>
    </row>
    <row r="24" spans="1:8" x14ac:dyDescent="0.3">
      <c r="A24" s="9">
        <v>1009</v>
      </c>
      <c r="B24" s="10">
        <v>45301</v>
      </c>
      <c r="C24" s="11" t="s">
        <v>13</v>
      </c>
      <c r="D24" s="11" t="s">
        <v>37</v>
      </c>
      <c r="E24" s="12" t="s">
        <v>18</v>
      </c>
      <c r="F24" s="13">
        <v>2</v>
      </c>
      <c r="G24" s="11">
        <v>5</v>
      </c>
      <c r="H24" s="22">
        <v>800</v>
      </c>
    </row>
    <row r="25" spans="1:8" x14ac:dyDescent="0.3">
      <c r="A25" s="17">
        <v>1010</v>
      </c>
      <c r="B25" s="18">
        <v>45301</v>
      </c>
      <c r="C25" s="19" t="s">
        <v>13</v>
      </c>
      <c r="D25" s="19" t="s">
        <v>37</v>
      </c>
      <c r="E25" s="20" t="s">
        <v>18</v>
      </c>
      <c r="F25" s="21">
        <v>2</v>
      </c>
      <c r="G25" s="19">
        <v>5</v>
      </c>
      <c r="H25" s="23">
        <v>800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4E5471-931D-40F0-95BC-05C8FA672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Table001 (Page 1)</vt:lpstr>
      <vt:lpstr>Work file</vt:lpstr>
      <vt:lpstr>Final Result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Jacob</dc:creator>
  <cp:lastModifiedBy>Jino Jacob</cp:lastModifiedBy>
  <dcterms:created xsi:type="dcterms:W3CDTF">2026-01-29T20:14:58Z</dcterms:created>
  <dcterms:modified xsi:type="dcterms:W3CDTF">2026-01-31T18:03:37Z</dcterms:modified>
</cp:coreProperties>
</file>